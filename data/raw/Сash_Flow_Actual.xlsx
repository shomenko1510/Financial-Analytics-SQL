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2D5D8797-E4DC-44A4-A19B-2E29EC33F58D}" xr6:coauthVersionLast="47" xr6:coauthVersionMax="47" xr10:uidLastSave="{00000000-0000-0000-0000-000000000000}"/>
  <bookViews>
    <workbookView xWindow="1275" yWindow="150" windowWidth="24450" windowHeight="15150" tabRatio="924" firstSheet="2" activeTab="4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Working Capital_Actual" sheetId="34" r:id="rId6"/>
    <sheet name="CapEx_Actual" sheetId="3" r:id="rId7"/>
    <sheet name="Debt Schedule_Actual" sheetId="6" r:id="rId8"/>
    <sheet name="DimDirection" sheetId="35" r:id="rId9"/>
    <sheet name="OPEX_Actual" sheetId="36" r:id="rId10"/>
    <sheet name="Sheet1" sheetId="38" r:id="rId11"/>
  </sheets>
  <definedNames>
    <definedName name="ExternalData_1" localSheetId="10" hidden="1">Sheet1!$A$1:$G$193</definedName>
    <definedName name="ExternalData_1" localSheetId="4" hidden="1">'Working Capital_Actual_SQL'!$A$1:$G$37</definedName>
  </definedNames>
  <calcPr calcId="191029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M3" i="1"/>
  <c r="N3" i="1"/>
  <c r="B3" i="1"/>
  <c r="L5" i="1" l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 s="1"/>
  <c r="M12" i="1" s="1"/>
  <c r="M15" i="1" s="1"/>
  <c r="O3" i="1"/>
  <c r="S36" i="2"/>
  <c r="S3" i="1" s="1"/>
  <c r="O9" i="37" l="1"/>
  <c r="S9" i="37"/>
  <c r="M16" i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L23" i="1"/>
  <c r="R2" i="6" l="1"/>
  <c r="Q7" i="6"/>
  <c r="R5" i="6"/>
  <c r="L31" i="1"/>
  <c r="M23" i="1"/>
  <c r="S2" i="6" l="1"/>
  <c r="R7" i="6"/>
  <c r="S5" i="6"/>
  <c r="M31" i="1"/>
  <c r="N23" i="1"/>
  <c r="T2" i="6" l="1"/>
  <c r="S7" i="6"/>
  <c r="T5" i="6"/>
  <c r="N31" i="1"/>
  <c r="U2" i="6" l="1"/>
  <c r="T7" i="6"/>
  <c r="U5" i="6"/>
  <c r="V2" i="6" s="1"/>
  <c r="U7" i="6"/>
  <c r="O31" i="1"/>
  <c r="O23" i="1"/>
  <c r="V5" i="6" l="1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Y7" i="6"/>
  <c r="V31" i="1"/>
  <c r="V32" i="1" s="1"/>
  <c r="V33" i="1" s="1"/>
  <c r="Z5" i="6" l="1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;Extended Properties=&quot;&quot;" command="SELECT * FROM [OPEX_Actual]"/>
  </connection>
  <connection id="2" xr16:uid="{A6C8195A-3846-4F42-9C7C-0164BC1FA345}" keepAlive="1" name="Query - Working Capital_Actual" description="Connection to the 'Working Capital_Actual' query in the workbook." type="5" refreshedVersion="8" background="1" saveData="1">
    <dbPr connection="Provider=Microsoft.Mashup.OleDb.1;Data Source=$Workbook$;Location=&quot;Working Capital_Actual&quot;;Extended Properties=&quot;&quot;" command="SELECT * FROM [Working Capital_Actual]"/>
  </connection>
</connections>
</file>

<file path=xl/sharedStrings.xml><?xml version="1.0" encoding="utf-8"?>
<sst xmlns="http://schemas.openxmlformats.org/spreadsheetml/2006/main" count="1338" uniqueCount="115">
  <si>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</si>
  <si>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</si>
  <si>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</si>
  <si>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</si>
  <si>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</si>
  <si>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</si>
  <si>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</si>
  <si>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</si>
  <si>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</si>
  <si>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</si>
  <si>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</si>
  <si>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</si>
  <si>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</si>
  <si>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</si>
  <si>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</si>
  <si>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</si>
  <si>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</si>
  <si>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</si>
  <si>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</si>
  <si>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</si>
  <si>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</si>
  <si>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</si>
  <si>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</si>
  <si>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</si>
  <si>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</si>
  <si>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</si>
  <si>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</si>
  <si>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</si>
  <si>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</si>
  <si>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</si>
  <si>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</si>
  <si>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</si>
  <si>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</si>
  <si>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</si>
  <si>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</si>
  <si>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</si>
  <si>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</si>
  <si>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</si>
  <si>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</si>
  <si>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</si>
  <si>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</si>
  <si>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</si>
  <si>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</si>
  <si>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</si>
  <si>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</si>
  <si>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</si>
  <si>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</si>
  <si>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</si>
  <si>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</si>
  <si>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</si>
  <si>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</si>
  <si>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</si>
  <si>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</si>
  <si>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</si>
  <si>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</si>
  <si>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</si>
  <si>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</si>
  <si>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</si>
  <si>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</si>
  <si>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</si>
  <si>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</si>
  <si>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</si>
  <si>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</si>
  <si>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</si>
  <si>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</si>
  <si>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</si>
  <si>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</si>
  <si>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</si>
  <si>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</si>
  <si>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</si>
  <si>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</si>
  <si>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</si>
  <si>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</si>
  <si>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</si>
  <si>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</si>
  <si>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</si>
  <si>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</si>
  <si>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</si>
  <si>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</si>
  <si>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</si>
  <si>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</si>
  <si>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</si>
  <si>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</si>
  <si>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</si>
  <si>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</si>
  <si>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</si>
  <si>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</si>
  <si>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</si>
  <si>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</si>
  <si>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</si>
  <si>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</si>
  <si>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</si>
  <si>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</si>
  <si>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</si>
  <si>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</si>
  <si>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</si>
  <si>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</si>
  <si>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</si>
  <si>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</si>
  <si>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</si>
  <si>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</si>
  <si>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</si>
  <si>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</si>
  <si>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</si>
  <si>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</si>
  <si>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</si>
  <si>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</si>
  <si>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</si>
  <si>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</si>
  <si>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</si>
  <si>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</si>
  <si>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</si>
  <si>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Payables</t>
  </si>
  <si>
    <t>WorkingCapitalItem</t>
  </si>
  <si>
    <t>WorkingCapitalAmount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</si>
</sst>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0" fontId="0" fillId="0" borderId="0" xfId="0" applyNumberForma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1EAEEDD-FD3C-4ECF-8378-90041362828A}" autoFormatId="16" applyNumberFormats="0" applyBorderFormats="0" applyFontFormats="0" applyPatternFormats="0" applyAlignmentFormats="0" applyWidthHeightFormats="0">
  <queryTableRefresh nextId="333">
    <queryTableFields count="7">
      <queryTableField id="325" name="CompanyName" tableColumnId="2"/>
      <queryTableField id="326" name="Year" tableColumnId="4"/>
      <queryTableField id="327" name="Quarter" tableColumnId="5"/>
      <queryTableField id="328" name="ScenarioName" tableColumnId="6"/>
      <queryTableField id="269" name="WorkingCapitalCategory" tableColumnId="269"/>
      <queryTableField id="322" name="WorkingCapitalItem" tableColumnId="1"/>
      <queryTableField id="324" name="WorkingCapitalAmoun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900-000000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5D917-DA05-492C-8F40-81ED28EE5341}" name="Working_Capital_Actual" displayName="Working_Capital_Actual" ref="A1:G37" tableType="queryTable" totalsRowShown="0">
  <autoFilter ref="A1:G37" xr:uid="{4C75D917-DA05-492C-8F40-81ED28EE5341}"/>
  <tableColumns count="7">
    <tableColumn id="2" xr3:uid="{71577955-792A-4F92-9850-147EEEA86506}" uniqueName="2" name="CompanyName" queryTableFieldId="325" dataDxfId="3"/>
    <tableColumn id="4" xr3:uid="{A0948E47-2B65-4F00-B92B-7C0C027BCFFB}" uniqueName="4" name="Year" queryTableFieldId="326"/>
    <tableColumn id="5" xr3:uid="{1412D511-4094-4094-A031-B5A83F7B19BB}" uniqueName="5" name="Quarter" queryTableFieldId="327" dataDxfId="2"/>
    <tableColumn id="6" xr3:uid="{A59DFD89-A261-4D73-836B-E4F071E39B06}" uniqueName="6" name="ScenarioName" queryTableFieldId="328" dataDxfId="1"/>
    <tableColumn id="269" xr3:uid="{67DB9E21-54A3-4818-8B6D-AC15607C62BE}" uniqueName="269" name="WorkingCapitalCategory" queryTableFieldId="269" dataDxfId="0"/>
    <tableColumn id="1" xr3:uid="{1C0DB77A-B098-43E4-9AA9-ADE248F44AE7}" uniqueName="1" name="WorkingCapitalItem" queryTableFieldId="322" dataDxfId="4"/>
    <tableColumn id="3" xr3:uid="{645A348A-2E4E-48D4-A10D-93C2E5D4E473}" uniqueName="3" name="WorkingCapitalAmount" queryTableFieldId="3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PEX_Actual" displayName="OPEX_Actual" ref="A1:G193" tableType="queryTable" totalsRowShown="0">
  <autoFilter ref="A1:G193" xr:uid="{00000000-0009-0000-0100-000001000000}"/>
  <tableColumns count="7">
    <tableColumn id="15" xr3:uid="{00000000-0010-0000-0000-00000F000000}" uniqueName="15" name="CompanyName" queryTableFieldId="1"/>
    <tableColumn id="16" xr3:uid="{00000000-0010-0000-0000-000010000000}" uniqueName="16" name="Year" queryTableFieldId="2"/>
    <tableColumn id="17" xr3:uid="{00000000-0010-0000-0000-000011000000}" uniqueName="17" name="Quarter" queryTableFieldId="3"/>
    <tableColumn id="18" xr3:uid="{00000000-0010-0000-0000-000012000000}" uniqueName="18" name="ScenarioName" queryTableFieldId="4"/>
    <tableColumn id="19" xr3:uid="{00000000-0010-0000-0000-000013000000}" uniqueName="19" name="OPEXCategoryName" queryTableFieldId="5"/>
    <tableColumn id="20" xr3:uid="{00000000-0010-0000-0000-000014000000}" uniqueName="20" name="OPEXSubcategoryName" queryTableFieldId="6"/>
    <tableColumn id="21" xr3:uid="{00000000-0010-0000-00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7438-8CE4-4C91-AA4F-C5CF05C66B36}">
  <dimension ref="A1:G37"/>
  <sheetViews>
    <sheetView tabSelected="1" topLeftCell="A10" workbookViewId="0">
      <selection activeCell="I26" sqref="I26"/>
    </sheetView>
  </sheetViews>
  <sheetFormatPr defaultRowHeight="15" x14ac:dyDescent="0.25"/>
  <cols>
    <col min="1" max="1" width="17" bestFit="1" customWidth="1"/>
    <col min="2" max="2" width="7.28515625" bestFit="1" customWidth="1"/>
    <col min="3" max="3" width="10.140625" bestFit="1" customWidth="1"/>
    <col min="4" max="4" width="16.28515625" bestFit="1" customWidth="1"/>
    <col min="5" max="5" width="25.28515625" bestFit="1" customWidth="1"/>
    <col min="6" max="6" width="22.28515625" bestFit="1" customWidth="1"/>
    <col min="7" max="8" width="24.5703125" bestFit="1" customWidth="1"/>
    <col min="9" max="33" width="12.42578125" bestFit="1" customWidth="1"/>
    <col min="34" max="106" width="12.140625" bestFit="1" customWidth="1"/>
    <col min="107" max="275" width="13.140625" bestFit="1" customWidth="1"/>
    <col min="276" max="276" width="25.28515625" bestFit="1" customWidth="1"/>
    <col min="277" max="328" width="13.140625" bestFit="1" customWidth="1"/>
  </cols>
  <sheetData>
    <row r="1" spans="1:7" x14ac:dyDescent="0.25">
      <c r="A1" t="s">
        <v>97</v>
      </c>
      <c r="B1" t="s">
        <v>98</v>
      </c>
      <c r="C1" t="s">
        <v>99</v>
      </c>
      <c r="D1" t="s">
        <v>100</v>
      </c>
      <c r="E1" t="s">
        <v>110</v>
      </c>
      <c r="F1" t="s">
        <v>113</v>
      </c>
      <c r="G1" t="s">
        <v>114</v>
      </c>
    </row>
    <row r="2" spans="1:7" x14ac:dyDescent="0.25">
      <c r="A2" s="92" t="s">
        <v>104</v>
      </c>
      <c r="B2">
        <v>2023</v>
      </c>
      <c r="C2" s="92" t="s">
        <v>105</v>
      </c>
      <c r="D2" s="92" t="s">
        <v>106</v>
      </c>
      <c r="E2" s="92" t="s">
        <v>84</v>
      </c>
      <c r="F2" t="s">
        <v>48</v>
      </c>
      <c r="G2">
        <v>176213.3910344794</v>
      </c>
    </row>
    <row r="3" spans="1:7" x14ac:dyDescent="0.25">
      <c r="A3" s="92" t="s">
        <v>104</v>
      </c>
      <c r="B3">
        <v>2023</v>
      </c>
      <c r="C3" s="92" t="s">
        <v>107</v>
      </c>
      <c r="D3" s="92" t="s">
        <v>106</v>
      </c>
      <c r="E3" s="92" t="s">
        <v>84</v>
      </c>
      <c r="F3" t="s">
        <v>48</v>
      </c>
      <c r="G3">
        <v>183797.04964974552</v>
      </c>
    </row>
    <row r="4" spans="1:7" x14ac:dyDescent="0.25">
      <c r="A4" s="92" t="s">
        <v>104</v>
      </c>
      <c r="B4">
        <v>2023</v>
      </c>
      <c r="C4" s="92" t="s">
        <v>108</v>
      </c>
      <c r="D4" s="92" t="s">
        <v>106</v>
      </c>
      <c r="E4" s="92" t="s">
        <v>84</v>
      </c>
      <c r="F4" t="s">
        <v>48</v>
      </c>
      <c r="G4">
        <v>188097.33499598625</v>
      </c>
    </row>
    <row r="5" spans="1:7" x14ac:dyDescent="0.25">
      <c r="A5" s="92" t="s">
        <v>104</v>
      </c>
      <c r="B5">
        <v>2023</v>
      </c>
      <c r="C5" s="92" t="s">
        <v>109</v>
      </c>
      <c r="D5" s="92" t="s">
        <v>106</v>
      </c>
      <c r="E5" s="92" t="s">
        <v>84</v>
      </c>
      <c r="F5" t="s">
        <v>48</v>
      </c>
      <c r="G5">
        <v>195169.87089099811</v>
      </c>
    </row>
    <row r="6" spans="1:7" x14ac:dyDescent="0.25">
      <c r="A6" s="92" t="s">
        <v>104</v>
      </c>
      <c r="B6">
        <v>2024</v>
      </c>
      <c r="C6" s="92" t="s">
        <v>105</v>
      </c>
      <c r="D6" s="92" t="s">
        <v>106</v>
      </c>
      <c r="E6" s="92" t="s">
        <v>84</v>
      </c>
      <c r="F6" t="s">
        <v>48</v>
      </c>
      <c r="G6">
        <v>205630.11959630589</v>
      </c>
    </row>
    <row r="7" spans="1:7" x14ac:dyDescent="0.25">
      <c r="A7" s="92" t="s">
        <v>104</v>
      </c>
      <c r="B7">
        <v>2024</v>
      </c>
      <c r="C7" s="92" t="s">
        <v>107</v>
      </c>
      <c r="D7" s="92" t="s">
        <v>106</v>
      </c>
      <c r="E7" s="92" t="s">
        <v>84</v>
      </c>
      <c r="F7" t="s">
        <v>48</v>
      </c>
      <c r="G7">
        <v>219371.7267897749</v>
      </c>
    </row>
    <row r="8" spans="1:7" x14ac:dyDescent="0.25">
      <c r="A8" s="92" t="s">
        <v>104</v>
      </c>
      <c r="B8">
        <v>2024</v>
      </c>
      <c r="C8" s="92" t="s">
        <v>108</v>
      </c>
      <c r="D8" s="92" t="s">
        <v>106</v>
      </c>
      <c r="E8" s="92" t="s">
        <v>84</v>
      </c>
      <c r="F8" t="s">
        <v>48</v>
      </c>
      <c r="G8">
        <v>213132.14646400703</v>
      </c>
    </row>
    <row r="9" spans="1:7" x14ac:dyDescent="0.25">
      <c r="A9" s="92" t="s">
        <v>104</v>
      </c>
      <c r="B9">
        <v>2024</v>
      </c>
      <c r="C9" s="92" t="s">
        <v>109</v>
      </c>
      <c r="D9" s="92" t="s">
        <v>106</v>
      </c>
      <c r="E9" s="92" t="s">
        <v>84</v>
      </c>
      <c r="F9" t="s">
        <v>48</v>
      </c>
      <c r="G9">
        <v>226775.31416633673</v>
      </c>
    </row>
    <row r="10" spans="1:7" x14ac:dyDescent="0.25">
      <c r="A10" s="92" t="s">
        <v>104</v>
      </c>
      <c r="B10">
        <v>2025</v>
      </c>
      <c r="C10" s="92" t="s">
        <v>105</v>
      </c>
      <c r="D10" s="92" t="s">
        <v>106</v>
      </c>
      <c r="E10" s="92" t="s">
        <v>84</v>
      </c>
      <c r="F10" t="s">
        <v>48</v>
      </c>
      <c r="G10">
        <v>238177.54703184307</v>
      </c>
    </row>
    <row r="11" spans="1:7" x14ac:dyDescent="0.25">
      <c r="A11" s="92" t="s">
        <v>104</v>
      </c>
      <c r="B11">
        <v>2025</v>
      </c>
      <c r="C11" s="92" t="s">
        <v>107</v>
      </c>
      <c r="D11" s="92" t="s">
        <v>106</v>
      </c>
      <c r="E11" s="92" t="s">
        <v>84</v>
      </c>
      <c r="F11" t="s">
        <v>48</v>
      </c>
      <c r="G11">
        <v>253364.29098184008</v>
      </c>
    </row>
    <row r="12" spans="1:7" x14ac:dyDescent="0.25">
      <c r="A12" s="92" t="s">
        <v>104</v>
      </c>
      <c r="B12">
        <v>2025</v>
      </c>
      <c r="C12" s="92" t="s">
        <v>108</v>
      </c>
      <c r="D12" s="92" t="s">
        <v>106</v>
      </c>
      <c r="E12" s="92" t="s">
        <v>84</v>
      </c>
      <c r="F12" t="s">
        <v>48</v>
      </c>
      <c r="G12">
        <v>245838.12279105405</v>
      </c>
    </row>
    <row r="13" spans="1:7" x14ac:dyDescent="0.25">
      <c r="A13" s="92" t="s">
        <v>104</v>
      </c>
      <c r="B13">
        <v>2025</v>
      </c>
      <c r="C13" s="92" t="s">
        <v>109</v>
      </c>
      <c r="D13" s="92" t="s">
        <v>106</v>
      </c>
      <c r="E13" s="92" t="s">
        <v>84</v>
      </c>
      <c r="F13" t="s">
        <v>48</v>
      </c>
      <c r="G13">
        <v>262120.26923055129</v>
      </c>
    </row>
    <row r="14" spans="1:7" x14ac:dyDescent="0.25">
      <c r="A14" s="92" t="s">
        <v>104</v>
      </c>
      <c r="B14">
        <v>2023</v>
      </c>
      <c r="C14" s="92" t="s">
        <v>105</v>
      </c>
      <c r="D14" s="92" t="s">
        <v>106</v>
      </c>
      <c r="E14" s="92" t="s">
        <v>111</v>
      </c>
      <c r="F14" t="s">
        <v>49</v>
      </c>
      <c r="G14">
        <v>109364.8</v>
      </c>
    </row>
    <row r="15" spans="1:7" x14ac:dyDescent="0.25">
      <c r="A15" s="92" t="s">
        <v>104</v>
      </c>
      <c r="B15">
        <v>2023</v>
      </c>
      <c r="C15" s="92" t="s">
        <v>107</v>
      </c>
      <c r="D15" s="92" t="s">
        <v>106</v>
      </c>
      <c r="E15" s="92" t="s">
        <v>111</v>
      </c>
      <c r="F15" t="s">
        <v>49</v>
      </c>
      <c r="G15">
        <v>104862.03127593001</v>
      </c>
    </row>
    <row r="16" spans="1:7" x14ac:dyDescent="0.25">
      <c r="A16" s="92" t="s">
        <v>104</v>
      </c>
      <c r="B16">
        <v>2023</v>
      </c>
      <c r="C16" s="92" t="s">
        <v>108</v>
      </c>
      <c r="D16" s="92" t="s">
        <v>106</v>
      </c>
      <c r="E16" s="92" t="s">
        <v>111</v>
      </c>
      <c r="F16" t="s">
        <v>49</v>
      </c>
      <c r="G16">
        <v>107460.70783204175</v>
      </c>
    </row>
    <row r="17" spans="1:7" x14ac:dyDescent="0.25">
      <c r="A17" s="92" t="s">
        <v>104</v>
      </c>
      <c r="B17">
        <v>2023</v>
      </c>
      <c r="C17" s="92" t="s">
        <v>109</v>
      </c>
      <c r="D17" s="92" t="s">
        <v>106</v>
      </c>
      <c r="E17" s="92" t="s">
        <v>111</v>
      </c>
      <c r="F17" t="s">
        <v>49</v>
      </c>
      <c r="G17">
        <v>144869.31134359751</v>
      </c>
    </row>
    <row r="18" spans="1:7" x14ac:dyDescent="0.25">
      <c r="A18" s="92" t="s">
        <v>104</v>
      </c>
      <c r="B18">
        <v>2024</v>
      </c>
      <c r="C18" s="92" t="s">
        <v>105</v>
      </c>
      <c r="D18" s="92" t="s">
        <v>106</v>
      </c>
      <c r="E18" s="92" t="s">
        <v>111</v>
      </c>
      <c r="F18" t="s">
        <v>49</v>
      </c>
      <c r="G18">
        <v>158085.8680208546</v>
      </c>
    </row>
    <row r="19" spans="1:7" x14ac:dyDescent="0.25">
      <c r="A19" s="92" t="s">
        <v>104</v>
      </c>
      <c r="B19">
        <v>2024</v>
      </c>
      <c r="C19" s="92" t="s">
        <v>107</v>
      </c>
      <c r="D19" s="92" t="s">
        <v>106</v>
      </c>
      <c r="E19" s="92" t="s">
        <v>111</v>
      </c>
      <c r="F19" t="s">
        <v>49</v>
      </c>
      <c r="G19">
        <v>128120.81252859323</v>
      </c>
    </row>
    <row r="20" spans="1:7" x14ac:dyDescent="0.25">
      <c r="A20" s="92" t="s">
        <v>104</v>
      </c>
      <c r="B20">
        <v>2024</v>
      </c>
      <c r="C20" s="92" t="s">
        <v>108</v>
      </c>
      <c r="D20" s="92" t="s">
        <v>106</v>
      </c>
      <c r="E20" s="92" t="s">
        <v>111</v>
      </c>
      <c r="F20" t="s">
        <v>49</v>
      </c>
      <c r="G20">
        <v>110365.99498029456</v>
      </c>
    </row>
    <row r="21" spans="1:7" x14ac:dyDescent="0.25">
      <c r="A21" s="92" t="s">
        <v>104</v>
      </c>
      <c r="B21">
        <v>2024</v>
      </c>
      <c r="C21" s="92" t="s">
        <v>109</v>
      </c>
      <c r="D21" s="92" t="s">
        <v>106</v>
      </c>
      <c r="E21" s="92" t="s">
        <v>111</v>
      </c>
      <c r="F21" t="s">
        <v>49</v>
      </c>
      <c r="G21">
        <v>100237.62176769711</v>
      </c>
    </row>
    <row r="22" spans="1:7" x14ac:dyDescent="0.25">
      <c r="A22" s="92" t="s">
        <v>104</v>
      </c>
      <c r="B22">
        <v>2025</v>
      </c>
      <c r="C22" s="92" t="s">
        <v>105</v>
      </c>
      <c r="D22" s="92" t="s">
        <v>106</v>
      </c>
      <c r="E22" s="92" t="s">
        <v>111</v>
      </c>
      <c r="F22" t="s">
        <v>49</v>
      </c>
      <c r="G22">
        <v>143107.0116076436</v>
      </c>
    </row>
    <row r="23" spans="1:7" x14ac:dyDescent="0.25">
      <c r="A23" s="92" t="s">
        <v>104</v>
      </c>
      <c r="B23">
        <v>2025</v>
      </c>
      <c r="C23" s="92" t="s">
        <v>107</v>
      </c>
      <c r="D23" s="92" t="s">
        <v>106</v>
      </c>
      <c r="E23" s="92" t="s">
        <v>111</v>
      </c>
      <c r="F23" t="s">
        <v>49</v>
      </c>
      <c r="G23">
        <v>154871.78207848271</v>
      </c>
    </row>
    <row r="24" spans="1:7" x14ac:dyDescent="0.25">
      <c r="A24" s="92" t="s">
        <v>104</v>
      </c>
      <c r="B24">
        <v>2025</v>
      </c>
      <c r="C24" s="92" t="s">
        <v>108</v>
      </c>
      <c r="D24" s="92" t="s">
        <v>106</v>
      </c>
      <c r="E24" s="92" t="s">
        <v>111</v>
      </c>
      <c r="F24" t="s">
        <v>49</v>
      </c>
      <c r="G24">
        <v>149712.56572213367</v>
      </c>
    </row>
    <row r="25" spans="1:7" x14ac:dyDescent="0.25">
      <c r="A25" s="92" t="s">
        <v>104</v>
      </c>
      <c r="B25">
        <v>2025</v>
      </c>
      <c r="C25" s="92" t="s">
        <v>109</v>
      </c>
      <c r="D25" s="92" t="s">
        <v>106</v>
      </c>
      <c r="E25" s="92" t="s">
        <v>111</v>
      </c>
      <c r="F25" t="s">
        <v>49</v>
      </c>
      <c r="G25">
        <v>150175.74565049403</v>
      </c>
    </row>
    <row r="26" spans="1:7" x14ac:dyDescent="0.25">
      <c r="A26" s="92" t="s">
        <v>104</v>
      </c>
      <c r="B26">
        <v>2023</v>
      </c>
      <c r="C26" s="92" t="s">
        <v>105</v>
      </c>
      <c r="D26" s="92" t="s">
        <v>106</v>
      </c>
      <c r="E26" s="92" t="s">
        <v>112</v>
      </c>
      <c r="F26" t="s">
        <v>50</v>
      </c>
      <c r="G26">
        <v>21185.389800667006</v>
      </c>
    </row>
    <row r="27" spans="1:7" x14ac:dyDescent="0.25">
      <c r="A27" s="92" t="s">
        <v>104</v>
      </c>
      <c r="B27">
        <v>2023</v>
      </c>
      <c r="C27" s="92" t="s">
        <v>107</v>
      </c>
      <c r="D27" s="92" t="s">
        <v>106</v>
      </c>
      <c r="E27" s="92" t="s">
        <v>112</v>
      </c>
      <c r="F27" t="s">
        <v>50</v>
      </c>
      <c r="G27">
        <v>49077.648605494804</v>
      </c>
    </row>
    <row r="28" spans="1:7" x14ac:dyDescent="0.25">
      <c r="A28" s="92" t="s">
        <v>104</v>
      </c>
      <c r="B28">
        <v>2023</v>
      </c>
      <c r="C28" s="92" t="s">
        <v>108</v>
      </c>
      <c r="D28" s="92" t="s">
        <v>106</v>
      </c>
      <c r="E28" s="92" t="s">
        <v>112</v>
      </c>
      <c r="F28" t="s">
        <v>50</v>
      </c>
      <c r="G28">
        <v>6967.9673967445342</v>
      </c>
    </row>
    <row r="29" spans="1:7" x14ac:dyDescent="0.25">
      <c r="A29" s="92" t="s">
        <v>104</v>
      </c>
      <c r="B29">
        <v>2023</v>
      </c>
      <c r="C29" s="92" t="s">
        <v>109</v>
      </c>
      <c r="D29" s="92" t="s">
        <v>106</v>
      </c>
      <c r="E29" s="92" t="s">
        <v>112</v>
      </c>
      <c r="F29" t="s">
        <v>50</v>
      </c>
      <c r="G29">
        <v>20990.427847235434</v>
      </c>
    </row>
    <row r="30" spans="1:7" x14ac:dyDescent="0.25">
      <c r="A30" s="92" t="s">
        <v>104</v>
      </c>
      <c r="B30">
        <v>2024</v>
      </c>
      <c r="C30" s="92" t="s">
        <v>105</v>
      </c>
      <c r="D30" s="92" t="s">
        <v>106</v>
      </c>
      <c r="E30" s="92" t="s">
        <v>112</v>
      </c>
      <c r="F30" t="s">
        <v>50</v>
      </c>
      <c r="G30">
        <v>34687.193398158517</v>
      </c>
    </row>
    <row r="31" spans="1:7" x14ac:dyDescent="0.25">
      <c r="A31" s="92" t="s">
        <v>104</v>
      </c>
      <c r="B31">
        <v>2024</v>
      </c>
      <c r="C31" s="92" t="s">
        <v>107</v>
      </c>
      <c r="D31" s="92" t="s">
        <v>106</v>
      </c>
      <c r="E31" s="92" t="s">
        <v>112</v>
      </c>
      <c r="F31" t="s">
        <v>50</v>
      </c>
      <c r="G31">
        <v>36120.436180166136</v>
      </c>
    </row>
    <row r="32" spans="1:7" x14ac:dyDescent="0.25">
      <c r="A32" s="92" t="s">
        <v>104</v>
      </c>
      <c r="B32">
        <v>2024</v>
      </c>
      <c r="C32" s="92" t="s">
        <v>108</v>
      </c>
      <c r="D32" s="92" t="s">
        <v>106</v>
      </c>
      <c r="E32" s="92" t="s">
        <v>112</v>
      </c>
      <c r="F32" t="s">
        <v>50</v>
      </c>
      <c r="G32">
        <v>9803.0302230313246</v>
      </c>
    </row>
    <row r="33" spans="1:7" x14ac:dyDescent="0.25">
      <c r="A33" s="92" t="s">
        <v>104</v>
      </c>
      <c r="B33">
        <v>2024</v>
      </c>
      <c r="C33" s="92" t="s">
        <v>109</v>
      </c>
      <c r="D33" s="92" t="s">
        <v>106</v>
      </c>
      <c r="E33" s="92" t="s">
        <v>112</v>
      </c>
      <c r="F33" t="s">
        <v>50</v>
      </c>
      <c r="G33">
        <v>9235</v>
      </c>
    </row>
    <row r="34" spans="1:7" x14ac:dyDescent="0.25">
      <c r="A34" s="92" t="s">
        <v>104</v>
      </c>
      <c r="B34">
        <v>2025</v>
      </c>
      <c r="C34" s="92" t="s">
        <v>105</v>
      </c>
      <c r="D34" s="92" t="s">
        <v>106</v>
      </c>
      <c r="E34" s="92" t="s">
        <v>112</v>
      </c>
      <c r="F34" t="s">
        <v>50</v>
      </c>
      <c r="G34">
        <v>10863.810550512382</v>
      </c>
    </row>
    <row r="35" spans="1:7" x14ac:dyDescent="0.25">
      <c r="A35" s="92" t="s">
        <v>104</v>
      </c>
      <c r="B35">
        <v>2025</v>
      </c>
      <c r="C35" s="92" t="s">
        <v>107</v>
      </c>
      <c r="D35" s="92" t="s">
        <v>106</v>
      </c>
      <c r="E35" s="92" t="s">
        <v>112</v>
      </c>
      <c r="F35" t="s">
        <v>50</v>
      </c>
      <c r="G35">
        <v>12568</v>
      </c>
    </row>
    <row r="36" spans="1:7" x14ac:dyDescent="0.25">
      <c r="A36" s="92" t="s">
        <v>104</v>
      </c>
      <c r="B36">
        <v>2025</v>
      </c>
      <c r="C36" s="92" t="s">
        <v>108</v>
      </c>
      <c r="D36" s="92" t="s">
        <v>106</v>
      </c>
      <c r="E36" s="92" t="s">
        <v>112</v>
      </c>
      <c r="F36" t="s">
        <v>50</v>
      </c>
      <c r="G36">
        <v>11506</v>
      </c>
    </row>
    <row r="37" spans="1:7" x14ac:dyDescent="0.25">
      <c r="A37" s="92" t="s">
        <v>104</v>
      </c>
      <c r="B37">
        <v>2025</v>
      </c>
      <c r="C37" s="92" t="s">
        <v>109</v>
      </c>
      <c r="D37" s="92" t="s">
        <v>106</v>
      </c>
      <c r="E37" s="92" t="s">
        <v>112</v>
      </c>
      <c r="F37" t="s">
        <v>50</v>
      </c>
      <c r="G37">
        <v>14111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"/>
  <sheetViews>
    <sheetView topLeftCell="R1" zoomScale="85" zoomScaleNormal="85" workbookViewId="0">
      <selection activeCell="AE17" sqref="AE17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"/>
  <sheetViews>
    <sheetView topLeftCell="A25" workbookViewId="0">
      <selection activeCell="B5" sqref="B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63</v>
      </c>
      <c r="B1" s="89" t="s">
        <v>64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25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25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25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25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25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25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25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25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25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25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25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25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25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25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25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25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25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25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25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25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25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25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25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25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25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25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25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25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25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25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25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25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25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25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25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25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25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25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25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25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25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25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25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25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25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25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25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25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25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25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25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25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25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25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25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25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25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25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25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25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25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25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25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25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25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25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25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25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25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25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25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25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25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25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25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25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25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25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25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25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25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25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25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25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25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25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25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25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25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25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25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25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25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25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25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25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25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25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25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25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25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25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25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25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25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25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25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25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25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25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25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25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25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25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25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25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25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25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25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25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25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25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25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25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25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25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25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25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25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25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25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25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25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25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25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25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25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25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25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25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25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25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25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25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25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25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25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25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25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25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25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25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25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25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25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25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25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25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25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25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25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25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25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25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25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25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25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25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25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25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25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25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25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25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25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25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25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25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25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25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25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25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25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25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25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25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25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25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25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25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25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25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43A860-AA6A-41B2-B4B0-274F79DF5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Statement_Actual</vt:lpstr>
      <vt:lpstr>Balance Sheet_Actual</vt:lpstr>
      <vt:lpstr>Sales_Actual</vt:lpstr>
      <vt:lpstr>COGS_Actual</vt:lpstr>
      <vt:lpstr>Working Capital_Actual_SQL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2026-09-04T04:51:27Z</dcterms:modified>
</cp:coreProperties>
</file>