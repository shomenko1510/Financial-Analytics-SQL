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D0B29CC6-B0D9-44F1-B1ED-D895E535B180}" xr6:coauthVersionLast="47" xr6:coauthVersionMax="47" xr10:uidLastSave="{00000000-0000-0000-0000-000000000000}"/>
  <bookViews>
    <workbookView xWindow="780" yWindow="75" windowWidth="23280" windowHeight="15405" tabRatio="924" firstSheet="1" activeTab="8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91029"/>
</workbook>
</file>

<file path=xl/calcChain.xml><?xml version="1.0" encoding="utf-8"?>
<calcChain xmlns="http://schemas.openxmlformats.org/spreadsheetml/2006/main">
  <c r="E7" i="3" l="1"/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22" i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H2" i="6" s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I2" i="6" s="1"/>
  <c r="S18" i="1"/>
  <c r="W18" i="1"/>
  <c r="H7" i="6" l="1"/>
  <c r="H12" i="1" s="1"/>
  <c r="H15" i="1" s="1"/>
  <c r="H16" i="1" s="1"/>
  <c r="H17" i="1" s="1"/>
  <c r="H21" i="1" s="1"/>
  <c r="H10" i="37"/>
  <c r="H14" i="37" s="1"/>
  <c r="Y18" i="1"/>
  <c r="Q18" i="1"/>
  <c r="U18" i="1"/>
  <c r="X18" i="1"/>
  <c r="T18" i="1"/>
  <c r="P18" i="1"/>
  <c r="I5" i="6" l="1"/>
  <c r="J2" i="6" s="1"/>
  <c r="I7" i="6"/>
  <c r="I12" i="1" s="1"/>
  <c r="I15" i="1" s="1"/>
  <c r="I16" i="1" s="1"/>
  <c r="I17" i="1" s="1"/>
  <c r="I21" i="1" s="1"/>
  <c r="W19" i="1"/>
  <c r="O17" i="2"/>
  <c r="I10" i="37" l="1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K2" i="6" s="1"/>
  <c r="J7" i="6"/>
  <c r="J12" i="1" s="1"/>
  <c r="J15" i="1" s="1"/>
  <c r="J16" i="1" s="1"/>
  <c r="J17" i="1" s="1"/>
  <c r="J21" i="1" s="1"/>
  <c r="P32" i="1"/>
  <c r="P33" i="1" s="1"/>
  <c r="J10" i="37" l="1"/>
  <c r="J14" i="37" s="1"/>
  <c r="T36" i="2"/>
  <c r="T3" i="1" s="1"/>
  <c r="V36" i="2"/>
  <c r="V3" i="1" s="1"/>
  <c r="U36" i="2"/>
  <c r="U3" i="1" s="1"/>
  <c r="T9" i="37" l="1"/>
  <c r="V9" i="37"/>
  <c r="U9" i="37"/>
  <c r="K5" i="6"/>
  <c r="L2" i="6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K7" i="6" l="1"/>
  <c r="K12" i="1" s="1"/>
  <c r="K15" i="1" s="1"/>
  <c r="K16" i="1" s="1"/>
  <c r="K17" i="1" s="1"/>
  <c r="K21" i="1" s="1"/>
  <c r="X9" i="37"/>
  <c r="Y9" i="37"/>
  <c r="Z9" i="37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O4" i="1"/>
  <c r="L7" i="6" l="1"/>
  <c r="L12" i="1" s="1"/>
  <c r="L15" i="1" s="1"/>
  <c r="L16" i="1" s="1"/>
  <c r="L17" i="1" s="1"/>
  <c r="L21" i="1" s="1"/>
  <c r="M2" i="6"/>
  <c r="L10" i="37"/>
  <c r="L14" i="37" s="1"/>
  <c r="O36" i="2"/>
  <c r="M5" i="6" l="1"/>
  <c r="N2" i="6" s="1"/>
  <c r="M7" i="6"/>
  <c r="M12" i="1" s="1"/>
  <c r="M15" i="1" s="1"/>
  <c r="O3" i="1"/>
  <c r="S36" i="2"/>
  <c r="S3" i="1" s="1"/>
  <c r="O9" i="37" l="1"/>
  <c r="S9" i="37"/>
  <c r="M16" i="1"/>
  <c r="M17" i="1" s="1"/>
  <c r="M21" i="1" s="1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Q5" i="6" s="1"/>
  <c r="P7" i="6"/>
  <c r="L23" i="1"/>
  <c r="R2" i="6" l="1"/>
  <c r="R5" i="6" s="1"/>
  <c r="Q7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xr16:uid="{00000000-0015-0000-FFFF-FFFF01000000}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<sst xmlns="http://schemas.openxmlformats.org/spreadsheetml/2006/main" count="1290" uniqueCount="125">
  <si>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</si>
  <si>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</si>
  <si>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</si>
  <si>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</si>
  <si>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</si>
  <si>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</si>
  <si>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</si>
  <si>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</si>
  <si>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</si>
  <si>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</si>
  <si>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</si>
  <si>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</si>
  <si>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</si>
  <si>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</si>
  <si>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</si>
  <si>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</si>
  <si>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</si>
  <si>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</si>
  <si>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</si>
  <si>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</si>
  <si>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</si>
  <si>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</si>
  <si>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</si>
  <si>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</si>
  <si>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</si>
  <si>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</si>
  <si>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</si>
  <si>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</si>
  <si>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</si>
  <si>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</si>
  <si>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</si>
  <si>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</si>
  <si>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</si>
  <si>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</si>
  <si>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</si>
  <si>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</si>
  <si>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</si>
  <si>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</si>
  <si>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</si>
  <si>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</si>
  <si>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</si>
  <si>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</si>
  <si>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</si>
  <si>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</si>
  <si>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</si>
  <si>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</si>
  <si>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</si>
  <si>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</si>
  <si>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</si>
  <si>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</si>
  <si>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</si>
  <si>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</si>
  <si>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</si>
  <si>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</si>
  <si>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</si>
  <si>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</si>
  <si>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</si>
  <si>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</si>
  <si>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</si>
  <si>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</si>
  <si>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</si>
  <si>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</si>
  <si>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</si>
  <si>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</si>
  <si>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</si>
  <si>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</si>
  <si>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</si>
  <si>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</si>
  <si>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</si>
  <si>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</si>
  <si>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</si>
  <si>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</si>
  <si>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</si>
  <si>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</si>
  <si>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</si>
  <si>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</si>
  <si>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</si>
  <si>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</si>
  <si>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</si>
  <si>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</si>
  <si>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</si>
  <si>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</si>
  <si>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</si>
  <si>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</si>
  <si>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</si>
  <si>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</si>
  <si>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</si>
  <si>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</si>
  <si>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</si>
  <si>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</si>
  <si>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</si>
  <si>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</si>
  <si>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</si>
  <si>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</si>
  <si>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</si>
  <si>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</si>
  <si>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</si>
  <si>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</si>
  <si>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</si>
  <si>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</si>
  <si>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</si>
  <si>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</si>
  <si>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</si>
  <si>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</si>
  <si>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</si>
  <si>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</si>
  <si>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</si>
  <si>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</si>
  <si>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</si>
  <si>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</si>
  <si>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</si>
  <si>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</si>
  <si>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</si>
  <si>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</si>
  <si>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</si>
  <si>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</si>
  <si>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</si>
  <si>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</si>
  <si>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</si>
  <si>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</si>
  <si>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</si>
  <si>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</si>
  <si>
    <t>COGS (excl. VAT)</t>
  </si>
  <si>
    <t>Prepayment of Shareholders Loans</t>
  </si>
  <si>
    <t>Loans from Shareholders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</si>
</sst>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400-000000000000}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B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Working_Capital_Actual" displayName="Working_Capital_Actual" ref="A1:G25" tableType="queryTable" totalsRowShown="0">
  <autoFilter ref="A1:G25" xr:uid="{00000000-0009-0000-0100-000002000000}"/>
  <tableColumns count="7">
    <tableColumn id="269" xr3:uid="{00000000-0010-0000-0000-00000D010000}" uniqueName="269" name="WorkingCapitalCategory" queryTableFieldId="269"/>
    <tableColumn id="1" xr3:uid="{00000000-0010-0000-0000-000001000000}" uniqueName="1" name="CompanyName" queryTableFieldId="322"/>
    <tableColumn id="2" xr3:uid="{00000000-0010-0000-0000-000002000000}" uniqueName="2" name="ScenarioName" queryTableFieldId="323"/>
    <tableColumn id="3" xr3:uid="{00000000-0010-0000-0000-000003000000}" uniqueName="3" name="Year" queryTableFieldId="324"/>
    <tableColumn id="4" xr3:uid="{00000000-0010-0000-0000-000004000000}" uniqueName="4" name="Quarter" queryTableFieldId="325"/>
    <tableColumn id="5" xr3:uid="{00000000-0010-0000-0000-000005000000}" uniqueName="5" name="WorkingCapitalItem" queryTableFieldId="326"/>
    <tableColumn id="6" xr3:uid="{00000000-0010-0000-0000-000006000000}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EX_Actual" displayName="OPEX_Actual" ref="A1:G193" tableType="queryTable" totalsRowShown="0">
  <autoFilter ref="A1:G193" xr:uid="{00000000-0009-0000-0100-000001000000}"/>
  <tableColumns count="7">
    <tableColumn id="15" xr3:uid="{00000000-0010-0000-0100-00000F000000}" uniqueName="15" name="CompanyName" queryTableFieldId="1"/>
    <tableColumn id="16" xr3:uid="{00000000-0010-0000-0100-000010000000}" uniqueName="16" name="Year" queryTableFieldId="2"/>
    <tableColumn id="17" xr3:uid="{00000000-0010-0000-0100-000011000000}" uniqueName="17" name="Quarter" queryTableFieldId="3"/>
    <tableColumn id="18" xr3:uid="{00000000-0010-0000-0100-000012000000}" uniqueName="18" name="ScenarioName" queryTableFieldId="4"/>
    <tableColumn id="19" xr3:uid="{00000000-0010-0000-0100-000013000000}" uniqueName="19" name="OPEXCategoryName" queryTableFieldId="5"/>
    <tableColumn id="20" xr3:uid="{00000000-0010-0000-0100-000014000000}" uniqueName="20" name="OPEXSubcategoryName" queryTableFieldId="6"/>
    <tableColumn id="21" xr3:uid="{00000000-0010-0000-01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A35" sqref="A35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122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19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20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21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22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23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24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35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36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25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26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27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44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28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29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30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31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32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33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34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37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38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124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123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39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40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78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41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42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F29" sqref="F29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79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80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81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82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83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84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85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86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87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88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89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90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91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92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93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topLeftCell="A10" workbookViewId="0">
      <selection sqref="A1:G25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15.42578125" bestFit="1" customWidth="1"/>
    <col min="4" max="4" width="6.7109375" bestFit="1" customWidth="1"/>
    <col min="5" max="5" width="9.5703125" bestFit="1" customWidth="1"/>
    <col min="6" max="6" width="20.5703125" customWidth="1"/>
    <col min="7" max="7" width="23.140625" bestFit="1" customWidth="1"/>
    <col min="8" max="32" width="12.28515625" bestFit="1" customWidth="1"/>
    <col min="33" max="105" width="11.7109375" bestFit="1" customWidth="1"/>
    <col min="106" max="274" width="12.7109375" bestFit="1" customWidth="1"/>
    <col min="275" max="275" width="23.85546875" bestFit="1" customWidth="1"/>
    <col min="276" max="327" width="12.7109375" bestFit="1" customWidth="1"/>
  </cols>
  <sheetData>
    <row r="1" spans="1:7" x14ac:dyDescent="0.25">
      <c r="A1" t="s">
        <v>107</v>
      </c>
      <c r="B1" t="s">
        <v>94</v>
      </c>
      <c r="C1" t="s">
        <v>97</v>
      </c>
      <c r="D1" t="s">
        <v>95</v>
      </c>
      <c r="E1" t="s">
        <v>96</v>
      </c>
      <c r="F1" t="s">
        <v>109</v>
      </c>
      <c r="G1" t="s">
        <v>110</v>
      </c>
    </row>
    <row r="2" spans="1:7" x14ac:dyDescent="0.25">
      <c r="A2" t="s">
        <v>81</v>
      </c>
      <c r="B2" t="s">
        <v>101</v>
      </c>
      <c r="C2" t="s">
        <v>111</v>
      </c>
      <c r="D2">
        <v>2023</v>
      </c>
      <c r="E2" t="s">
        <v>102</v>
      </c>
      <c r="F2" t="s">
        <v>45</v>
      </c>
      <c r="G2">
        <v>176213.3910344794</v>
      </c>
    </row>
    <row r="3" spans="1:7" x14ac:dyDescent="0.25">
      <c r="A3" t="s">
        <v>81</v>
      </c>
      <c r="B3" t="s">
        <v>101</v>
      </c>
      <c r="C3" t="s">
        <v>111</v>
      </c>
      <c r="D3">
        <v>2023</v>
      </c>
      <c r="E3" t="s">
        <v>104</v>
      </c>
      <c r="F3" t="s">
        <v>45</v>
      </c>
      <c r="G3">
        <v>183797.04964974552</v>
      </c>
    </row>
    <row r="4" spans="1:7" x14ac:dyDescent="0.25">
      <c r="A4" t="s">
        <v>81</v>
      </c>
      <c r="B4" t="s">
        <v>101</v>
      </c>
      <c r="C4" t="s">
        <v>111</v>
      </c>
      <c r="D4">
        <v>2023</v>
      </c>
      <c r="E4" t="s">
        <v>105</v>
      </c>
      <c r="F4" t="s">
        <v>45</v>
      </c>
      <c r="G4">
        <v>188097.33499598625</v>
      </c>
    </row>
    <row r="5" spans="1:7" x14ac:dyDescent="0.25">
      <c r="A5" t="s">
        <v>81</v>
      </c>
      <c r="B5" t="s">
        <v>101</v>
      </c>
      <c r="C5" t="s">
        <v>111</v>
      </c>
      <c r="D5">
        <v>2023</v>
      </c>
      <c r="E5" t="s">
        <v>106</v>
      </c>
      <c r="F5" t="s">
        <v>45</v>
      </c>
      <c r="G5">
        <v>195169.87089099811</v>
      </c>
    </row>
    <row r="6" spans="1:7" x14ac:dyDescent="0.25">
      <c r="A6" t="s">
        <v>81</v>
      </c>
      <c r="B6" t="s">
        <v>101</v>
      </c>
      <c r="C6" t="s">
        <v>111</v>
      </c>
      <c r="D6">
        <v>2024</v>
      </c>
      <c r="E6" t="s">
        <v>102</v>
      </c>
      <c r="F6" t="s">
        <v>45</v>
      </c>
      <c r="G6">
        <v>205630.11959630589</v>
      </c>
    </row>
    <row r="7" spans="1:7" x14ac:dyDescent="0.25">
      <c r="A7" t="s">
        <v>81</v>
      </c>
      <c r="B7" t="s">
        <v>101</v>
      </c>
      <c r="C7" t="s">
        <v>111</v>
      </c>
      <c r="D7">
        <v>2024</v>
      </c>
      <c r="E7" t="s">
        <v>104</v>
      </c>
      <c r="F7" t="s">
        <v>45</v>
      </c>
      <c r="G7">
        <v>219371.7267897749</v>
      </c>
    </row>
    <row r="8" spans="1:7" x14ac:dyDescent="0.25">
      <c r="A8" t="s">
        <v>81</v>
      </c>
      <c r="B8" t="s">
        <v>101</v>
      </c>
      <c r="C8" t="s">
        <v>111</v>
      </c>
      <c r="D8">
        <v>2024</v>
      </c>
      <c r="E8" t="s">
        <v>105</v>
      </c>
      <c r="F8" t="s">
        <v>45</v>
      </c>
      <c r="G8">
        <v>213132.14646400703</v>
      </c>
    </row>
    <row r="9" spans="1:7" x14ac:dyDescent="0.25">
      <c r="A9" t="s">
        <v>81</v>
      </c>
      <c r="B9" t="s">
        <v>101</v>
      </c>
      <c r="C9" t="s">
        <v>111</v>
      </c>
      <c r="D9">
        <v>2024</v>
      </c>
      <c r="E9" t="s">
        <v>106</v>
      </c>
      <c r="F9" t="s">
        <v>45</v>
      </c>
      <c r="G9">
        <v>226775.31416633673</v>
      </c>
    </row>
    <row r="10" spans="1:7" x14ac:dyDescent="0.25">
      <c r="A10" t="s">
        <v>81</v>
      </c>
      <c r="B10" t="s">
        <v>101</v>
      </c>
      <c r="C10" t="s">
        <v>111</v>
      </c>
      <c r="D10">
        <v>2025</v>
      </c>
      <c r="E10" t="s">
        <v>102</v>
      </c>
      <c r="F10" t="s">
        <v>45</v>
      </c>
      <c r="G10">
        <v>238177.54703184307</v>
      </c>
    </row>
    <row r="11" spans="1:7" x14ac:dyDescent="0.25">
      <c r="A11" t="s">
        <v>81</v>
      </c>
      <c r="B11" t="s">
        <v>101</v>
      </c>
      <c r="C11" t="s">
        <v>111</v>
      </c>
      <c r="D11">
        <v>2025</v>
      </c>
      <c r="E11" t="s">
        <v>104</v>
      </c>
      <c r="F11" t="s">
        <v>45</v>
      </c>
      <c r="G11">
        <v>253364.29098184008</v>
      </c>
    </row>
    <row r="12" spans="1:7" x14ac:dyDescent="0.25">
      <c r="A12" t="s">
        <v>81</v>
      </c>
      <c r="B12" t="s">
        <v>101</v>
      </c>
      <c r="C12" t="s">
        <v>111</v>
      </c>
      <c r="D12">
        <v>2025</v>
      </c>
      <c r="E12" t="s">
        <v>105</v>
      </c>
      <c r="F12" t="s">
        <v>45</v>
      </c>
      <c r="G12">
        <v>245838.12279105405</v>
      </c>
    </row>
    <row r="13" spans="1:7" x14ac:dyDescent="0.25">
      <c r="A13" t="s">
        <v>81</v>
      </c>
      <c r="B13" t="s">
        <v>101</v>
      </c>
      <c r="C13" t="s">
        <v>111</v>
      </c>
      <c r="D13">
        <v>2025</v>
      </c>
      <c r="E13" t="s">
        <v>106</v>
      </c>
      <c r="F13" t="s">
        <v>45</v>
      </c>
      <c r="G13">
        <v>262120.26923055129</v>
      </c>
    </row>
    <row r="14" spans="1:7" x14ac:dyDescent="0.25">
      <c r="A14" t="s">
        <v>108</v>
      </c>
      <c r="B14" t="s">
        <v>101</v>
      </c>
      <c r="C14" t="s">
        <v>111</v>
      </c>
      <c r="D14">
        <v>2023</v>
      </c>
      <c r="E14" t="s">
        <v>102</v>
      </c>
      <c r="F14" t="s">
        <v>46</v>
      </c>
      <c r="G14">
        <v>109364.8</v>
      </c>
    </row>
    <row r="15" spans="1:7" x14ac:dyDescent="0.25">
      <c r="A15" t="s">
        <v>108</v>
      </c>
      <c r="B15" t="s">
        <v>101</v>
      </c>
      <c r="C15" t="s">
        <v>111</v>
      </c>
      <c r="D15">
        <v>2023</v>
      </c>
      <c r="E15" t="s">
        <v>104</v>
      </c>
      <c r="F15" t="s">
        <v>46</v>
      </c>
      <c r="G15">
        <v>104862.03127593001</v>
      </c>
    </row>
    <row r="16" spans="1:7" x14ac:dyDescent="0.25">
      <c r="A16" t="s">
        <v>108</v>
      </c>
      <c r="B16" t="s">
        <v>101</v>
      </c>
      <c r="C16" t="s">
        <v>111</v>
      </c>
      <c r="D16">
        <v>2023</v>
      </c>
      <c r="E16" t="s">
        <v>105</v>
      </c>
      <c r="F16" t="s">
        <v>46</v>
      </c>
      <c r="G16">
        <v>107460.70783204175</v>
      </c>
    </row>
    <row r="17" spans="1:7" x14ac:dyDescent="0.25">
      <c r="A17" t="s">
        <v>108</v>
      </c>
      <c r="B17" t="s">
        <v>101</v>
      </c>
      <c r="C17" t="s">
        <v>111</v>
      </c>
      <c r="D17">
        <v>2023</v>
      </c>
      <c r="E17" t="s">
        <v>106</v>
      </c>
      <c r="F17" t="s">
        <v>46</v>
      </c>
      <c r="G17">
        <v>144869.31134359751</v>
      </c>
    </row>
    <row r="18" spans="1:7" x14ac:dyDescent="0.25">
      <c r="A18" t="s">
        <v>108</v>
      </c>
      <c r="B18" t="s">
        <v>101</v>
      </c>
      <c r="C18" t="s">
        <v>111</v>
      </c>
      <c r="D18">
        <v>2024</v>
      </c>
      <c r="E18" t="s">
        <v>102</v>
      </c>
      <c r="F18" t="s">
        <v>46</v>
      </c>
      <c r="G18">
        <v>158085.8680208546</v>
      </c>
    </row>
    <row r="19" spans="1:7" x14ac:dyDescent="0.25">
      <c r="A19" t="s">
        <v>108</v>
      </c>
      <c r="B19" t="s">
        <v>101</v>
      </c>
      <c r="C19" t="s">
        <v>111</v>
      </c>
      <c r="D19">
        <v>2024</v>
      </c>
      <c r="E19" t="s">
        <v>104</v>
      </c>
      <c r="F19" t="s">
        <v>46</v>
      </c>
      <c r="G19">
        <v>128120.81252859323</v>
      </c>
    </row>
    <row r="20" spans="1:7" x14ac:dyDescent="0.25">
      <c r="A20" t="s">
        <v>108</v>
      </c>
      <c r="B20" t="s">
        <v>101</v>
      </c>
      <c r="C20" t="s">
        <v>111</v>
      </c>
      <c r="D20">
        <v>2024</v>
      </c>
      <c r="E20" t="s">
        <v>105</v>
      </c>
      <c r="F20" t="s">
        <v>46</v>
      </c>
      <c r="G20">
        <v>110365.99498029456</v>
      </c>
    </row>
    <row r="21" spans="1:7" x14ac:dyDescent="0.25">
      <c r="A21" t="s">
        <v>108</v>
      </c>
      <c r="B21" t="s">
        <v>101</v>
      </c>
      <c r="C21" t="s">
        <v>111</v>
      </c>
      <c r="D21">
        <v>2024</v>
      </c>
      <c r="E21" t="s">
        <v>106</v>
      </c>
      <c r="F21" t="s">
        <v>46</v>
      </c>
      <c r="G21">
        <v>100237.62176769711</v>
      </c>
    </row>
    <row r="22" spans="1:7" x14ac:dyDescent="0.25">
      <c r="A22" t="s">
        <v>108</v>
      </c>
      <c r="B22" t="s">
        <v>101</v>
      </c>
      <c r="C22" t="s">
        <v>111</v>
      </c>
      <c r="D22">
        <v>2025</v>
      </c>
      <c r="E22" t="s">
        <v>102</v>
      </c>
      <c r="F22" t="s">
        <v>46</v>
      </c>
      <c r="G22">
        <v>143107.0116076436</v>
      </c>
    </row>
    <row r="23" spans="1:7" x14ac:dyDescent="0.25">
      <c r="A23" t="s">
        <v>108</v>
      </c>
      <c r="B23" t="s">
        <v>101</v>
      </c>
      <c r="C23" t="s">
        <v>111</v>
      </c>
      <c r="D23">
        <v>2025</v>
      </c>
      <c r="E23" t="s">
        <v>104</v>
      </c>
      <c r="F23" t="s">
        <v>46</v>
      </c>
      <c r="G23">
        <v>154871.78207848271</v>
      </c>
    </row>
    <row r="24" spans="1:7" x14ac:dyDescent="0.25">
      <c r="A24" t="s">
        <v>108</v>
      </c>
      <c r="B24" t="s">
        <v>101</v>
      </c>
      <c r="C24" t="s">
        <v>111</v>
      </c>
      <c r="D24">
        <v>2025</v>
      </c>
      <c r="E24" t="s">
        <v>105</v>
      </c>
      <c r="F24" t="s">
        <v>46</v>
      </c>
      <c r="G24">
        <v>149712.56572213367</v>
      </c>
    </row>
    <row r="25" spans="1:7" x14ac:dyDescent="0.25">
      <c r="A25" t="s">
        <v>108</v>
      </c>
      <c r="B25" t="s">
        <v>101</v>
      </c>
      <c r="C25" t="s">
        <v>111</v>
      </c>
      <c r="D25">
        <v>2025</v>
      </c>
      <c r="E25" t="s">
        <v>106</v>
      </c>
      <c r="F25" t="s">
        <v>46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7"/>
  <sheetViews>
    <sheetView workbookViewId="0">
      <selection activeCell="E21" sqref="E21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x14ac:dyDescent="0.2">
      <c r="A1" s="51" t="s">
        <v>112</v>
      </c>
      <c r="B1" s="51" t="s">
        <v>113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114</v>
      </c>
      <c r="B2" s="92" t="s">
        <v>121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114</v>
      </c>
      <c r="B3" s="92" t="s">
        <v>115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116</v>
      </c>
      <c r="B4" s="92" t="s">
        <v>117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118</v>
      </c>
      <c r="B5" s="92" t="s">
        <v>119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120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"/>
  <sheetViews>
    <sheetView topLeftCell="R1" zoomScale="85" zoomScaleNormal="85" workbookViewId="0">
      <selection activeCell="AA16" sqref="AA16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45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46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47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D7"/>
  <sheetViews>
    <sheetView zoomScale="85" zoomScaleNormal="85" workbookViewId="0">
      <selection activeCell="F28" sqref="F28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48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49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50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51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53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52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>E3+E5-E2-E4</f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tabSelected="1" workbookViewId="0">
      <selection activeCell="M13" sqref="M13"/>
    </sheetView>
  </sheetViews>
  <sheetFormatPr defaultColWidth="8.85546875" defaultRowHeight="12" x14ac:dyDescent="0.2"/>
  <cols>
    <col min="1" max="1" width="21.7109375" style="11" customWidth="1"/>
    <col min="2" max="2" width="12.42578125" style="11" hidden="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hidden="1" customWidth="1"/>
    <col min="16" max="16" width="12" style="11" hidden="1" customWidth="1"/>
    <col min="17" max="17" width="10" style="11" hidden="1" customWidth="1"/>
    <col min="18" max="18" width="13" style="11" hidden="1" customWidth="1"/>
    <col min="19" max="19" width="14" style="11" hidden="1" customWidth="1"/>
    <col min="20" max="20" width="12" style="11" hidden="1" customWidth="1"/>
    <col min="21" max="21" width="10" style="11" hidden="1" customWidth="1"/>
    <col min="22" max="22" width="13" style="11" hidden="1" customWidth="1"/>
    <col min="23" max="23" width="14" style="11" hidden="1" customWidth="1"/>
    <col min="24" max="24" width="12" style="11" hidden="1" customWidth="1"/>
    <col min="25" max="25" width="10" style="11" hidden="1" customWidth="1"/>
    <col min="26" max="26" width="13" style="11" hidden="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57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ref="H2" si="1">G5</f>
        <v>24000</v>
      </c>
      <c r="I2" s="38">
        <f t="shared" ref="I2" si="2">H5</f>
        <v>28000</v>
      </c>
      <c r="J2" s="38">
        <f t="shared" ref="J2" si="3">I5</f>
        <v>42000</v>
      </c>
      <c r="K2" s="38">
        <f t="shared" ref="K2" si="4">J5</f>
        <v>42000</v>
      </c>
      <c r="L2" s="38">
        <f t="shared" ref="L2" si="5">K5</f>
        <v>32000</v>
      </c>
      <c r="M2" s="38">
        <f t="shared" ref="M2" si="6">L5</f>
        <v>0</v>
      </c>
      <c r="N2" s="38">
        <f t="shared" ref="N2" si="7">M5</f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58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54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59</v>
      </c>
      <c r="B5" s="38">
        <f>B2+B3-B4</f>
        <v>0</v>
      </c>
      <c r="C5" s="38">
        <f t="shared" ref="C5:Z5" si="8">C2+C3-C4</f>
        <v>12000</v>
      </c>
      <c r="D5" s="38">
        <f t="shared" si="8"/>
        <v>0</v>
      </c>
      <c r="E5" s="38">
        <f t="shared" si="8"/>
        <v>0</v>
      </c>
      <c r="F5" s="38">
        <f t="shared" si="8"/>
        <v>2000</v>
      </c>
      <c r="G5" s="38">
        <f t="shared" si="8"/>
        <v>24000</v>
      </c>
      <c r="H5" s="38">
        <f t="shared" si="8"/>
        <v>28000</v>
      </c>
      <c r="I5" s="38">
        <f t="shared" si="8"/>
        <v>42000</v>
      </c>
      <c r="J5" s="38">
        <f t="shared" si="8"/>
        <v>42000</v>
      </c>
      <c r="K5" s="38">
        <f t="shared" si="8"/>
        <v>32000</v>
      </c>
      <c r="L5" s="38">
        <f t="shared" si="8"/>
        <v>0</v>
      </c>
      <c r="M5" s="38">
        <f t="shared" si="8"/>
        <v>0</v>
      </c>
      <c r="N5" s="38">
        <f t="shared" si="8"/>
        <v>0</v>
      </c>
      <c r="O5" s="38">
        <f t="shared" si="8"/>
        <v>0</v>
      </c>
      <c r="P5" s="38">
        <f t="shared" si="8"/>
        <v>0</v>
      </c>
      <c r="Q5" s="38">
        <f t="shared" si="8"/>
        <v>0</v>
      </c>
      <c r="R5" s="38">
        <f t="shared" si="8"/>
        <v>0</v>
      </c>
      <c r="S5" s="38">
        <f t="shared" si="8"/>
        <v>0</v>
      </c>
      <c r="T5" s="38">
        <f t="shared" si="8"/>
        <v>0</v>
      </c>
      <c r="U5" s="38">
        <f t="shared" si="8"/>
        <v>0</v>
      </c>
      <c r="V5" s="38">
        <f t="shared" si="8"/>
        <v>0</v>
      </c>
      <c r="W5" s="38">
        <f t="shared" si="8"/>
        <v>0</v>
      </c>
      <c r="X5" s="38">
        <f t="shared" si="8"/>
        <v>0</v>
      </c>
      <c r="Y5" s="38">
        <f t="shared" si="8"/>
        <v>0</v>
      </c>
      <c r="Z5" s="38">
        <f t="shared" si="8"/>
        <v>0</v>
      </c>
    </row>
    <row r="6" spans="1:26" x14ac:dyDescent="0.2">
      <c r="A6" s="10" t="s">
        <v>55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56</v>
      </c>
      <c r="B7" s="38">
        <f>(B2+B5)*B6/2</f>
        <v>0</v>
      </c>
      <c r="C7" s="38">
        <f t="shared" ref="C7:F7" si="9">(C2+C5)*C6/2</f>
        <v>1140</v>
      </c>
      <c r="D7" s="38">
        <f t="shared" si="9"/>
        <v>1140</v>
      </c>
      <c r="E7" s="38">
        <f t="shared" si="9"/>
        <v>0</v>
      </c>
      <c r="F7" s="38">
        <f t="shared" si="9"/>
        <v>190</v>
      </c>
      <c r="G7" s="38">
        <f t="shared" ref="G7" si="10">(G2+G5)*G6/2</f>
        <v>2470</v>
      </c>
      <c r="H7" s="38">
        <f t="shared" ref="H7" si="11">(H2+H5)*H6/2</f>
        <v>4940</v>
      </c>
      <c r="I7" s="38">
        <f t="shared" ref="I7:J7" si="12">(I2+I5)*I6/2</f>
        <v>6650</v>
      </c>
      <c r="J7" s="38">
        <f t="shared" si="12"/>
        <v>7980</v>
      </c>
      <c r="K7" s="38">
        <f t="shared" ref="K7" si="13">(K2+K5)*K6/2</f>
        <v>7030</v>
      </c>
      <c r="L7" s="38">
        <f t="shared" ref="L7" si="14">(L2+L5)*L6/2</f>
        <v>3040</v>
      </c>
      <c r="M7" s="38">
        <f t="shared" ref="M7:N7" si="15">(M2+M5)*M6/2</f>
        <v>0</v>
      </c>
      <c r="N7" s="38">
        <f t="shared" si="15"/>
        <v>0</v>
      </c>
      <c r="O7" s="38">
        <f t="shared" ref="O7" si="16">(O2+O5)*O6/2</f>
        <v>0</v>
      </c>
      <c r="P7" s="38">
        <f t="shared" ref="P7" si="17">(P2+P5)*P6/2</f>
        <v>0</v>
      </c>
      <c r="Q7" s="38">
        <f t="shared" ref="Q7:R7" si="18">(Q2+Q5)*Q6/2</f>
        <v>0</v>
      </c>
      <c r="R7" s="38">
        <f t="shared" si="18"/>
        <v>0</v>
      </c>
      <c r="S7" s="38">
        <f t="shared" ref="S7" si="19">(S2+S5)*S6/2</f>
        <v>0</v>
      </c>
      <c r="T7" s="38">
        <f t="shared" ref="T7" si="20">(T2+T5)*T6/2</f>
        <v>0</v>
      </c>
      <c r="U7" s="38">
        <f t="shared" ref="U7:V7" si="21">(U2+U5)*U6/2</f>
        <v>0</v>
      </c>
      <c r="V7" s="38">
        <f t="shared" si="21"/>
        <v>0</v>
      </c>
      <c r="W7" s="38">
        <f t="shared" ref="W7" si="22">(W2+W5)*W6/2</f>
        <v>0</v>
      </c>
      <c r="X7" s="38">
        <f t="shared" ref="X7" si="23">(X2+X5)*X6/2</f>
        <v>0</v>
      </c>
      <c r="Y7" s="38">
        <f t="shared" ref="Y7:Z7" si="24">(Y2+Y5)*Y6/2</f>
        <v>0</v>
      </c>
      <c r="Z7" s="38">
        <f t="shared" si="24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60</v>
      </c>
      <c r="B1" s="89" t="s">
        <v>61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62</v>
      </c>
      <c r="B1" s="1" t="s">
        <v>63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21</v>
      </c>
      <c r="B2" s="10" t="s">
        <v>64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21</v>
      </c>
      <c r="B3" s="10" t="s">
        <v>65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21</v>
      </c>
      <c r="B4" s="10" t="s">
        <v>70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21</v>
      </c>
      <c r="B5" s="10" t="s">
        <v>71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21</v>
      </c>
      <c r="B6" s="10" t="s">
        <v>72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21</v>
      </c>
      <c r="B7" s="10" t="s">
        <v>73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22</v>
      </c>
      <c r="B8" s="10" t="s">
        <v>64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22</v>
      </c>
      <c r="B9" s="10" t="s">
        <v>65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22</v>
      </c>
      <c r="B10" s="10" t="s">
        <v>66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22</v>
      </c>
      <c r="B11" s="10" t="s">
        <v>67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22</v>
      </c>
      <c r="B12" s="10" t="s">
        <v>68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22</v>
      </c>
      <c r="B13" s="10" t="s">
        <v>69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23</v>
      </c>
      <c r="B14" s="10" t="s">
        <v>74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23</v>
      </c>
      <c r="B15" s="10" t="s">
        <v>75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23</v>
      </c>
      <c r="B16" s="10" t="s">
        <v>77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23</v>
      </c>
      <c r="B17" s="10" t="s">
        <v>76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25">
      <c r="A2" t="s">
        <v>101</v>
      </c>
      <c r="B2">
        <v>2023</v>
      </c>
      <c r="C2" t="s">
        <v>102</v>
      </c>
      <c r="D2" t="s">
        <v>103</v>
      </c>
      <c r="E2" t="s">
        <v>21</v>
      </c>
      <c r="F2" t="s">
        <v>64</v>
      </c>
      <c r="G2">
        <v>1259.6119916773132</v>
      </c>
    </row>
    <row r="3" spans="1:7" x14ac:dyDescent="0.25">
      <c r="A3" t="s">
        <v>101</v>
      </c>
      <c r="B3">
        <v>2023</v>
      </c>
      <c r="C3" t="s">
        <v>104</v>
      </c>
      <c r="D3" t="s">
        <v>103</v>
      </c>
      <c r="E3" t="s">
        <v>21</v>
      </c>
      <c r="F3" t="s">
        <v>64</v>
      </c>
      <c r="G3">
        <v>1303.3384476672559</v>
      </c>
    </row>
    <row r="4" spans="1:7" x14ac:dyDescent="0.25">
      <c r="A4" t="s">
        <v>101</v>
      </c>
      <c r="B4">
        <v>2023</v>
      </c>
      <c r="C4" t="s">
        <v>105</v>
      </c>
      <c r="D4" t="s">
        <v>103</v>
      </c>
      <c r="E4" t="s">
        <v>21</v>
      </c>
      <c r="F4" t="s">
        <v>64</v>
      </c>
      <c r="G4">
        <v>1354.4274331589963</v>
      </c>
    </row>
    <row r="5" spans="1:7" x14ac:dyDescent="0.25">
      <c r="A5" t="s">
        <v>101</v>
      </c>
      <c r="B5">
        <v>2023</v>
      </c>
      <c r="C5" t="s">
        <v>106</v>
      </c>
      <c r="D5" t="s">
        <v>103</v>
      </c>
      <c r="E5" t="s">
        <v>21</v>
      </c>
      <c r="F5" t="s">
        <v>64</v>
      </c>
      <c r="G5">
        <v>1391.9210598884429</v>
      </c>
    </row>
    <row r="6" spans="1:7" x14ac:dyDescent="0.25">
      <c r="A6" t="s">
        <v>101</v>
      </c>
      <c r="B6">
        <v>2024</v>
      </c>
      <c r="C6" t="s">
        <v>102</v>
      </c>
      <c r="D6" t="s">
        <v>103</v>
      </c>
      <c r="E6" t="s">
        <v>21</v>
      </c>
      <c r="F6" t="s">
        <v>64</v>
      </c>
      <c r="G6">
        <v>1435.1031649001236</v>
      </c>
    </row>
    <row r="7" spans="1:7" x14ac:dyDescent="0.25">
      <c r="A7" t="s">
        <v>101</v>
      </c>
      <c r="B7">
        <v>2024</v>
      </c>
      <c r="C7" t="s">
        <v>104</v>
      </c>
      <c r="D7" t="s">
        <v>103</v>
      </c>
      <c r="E7" t="s">
        <v>21</v>
      </c>
      <c r="F7" t="s">
        <v>64</v>
      </c>
      <c r="G7">
        <v>1476.2019135187759</v>
      </c>
    </row>
    <row r="8" spans="1:7" x14ac:dyDescent="0.25">
      <c r="A8" t="s">
        <v>101</v>
      </c>
      <c r="B8">
        <v>2024</v>
      </c>
      <c r="C8" t="s">
        <v>105</v>
      </c>
      <c r="D8" t="s">
        <v>103</v>
      </c>
      <c r="E8" t="s">
        <v>21</v>
      </c>
      <c r="F8" t="s">
        <v>64</v>
      </c>
      <c r="G8">
        <v>1533.1835104022182</v>
      </c>
    </row>
    <row r="9" spans="1:7" x14ac:dyDescent="0.25">
      <c r="A9" t="s">
        <v>101</v>
      </c>
      <c r="B9">
        <v>2024</v>
      </c>
      <c r="C9" t="s">
        <v>106</v>
      </c>
      <c r="D9" t="s">
        <v>103</v>
      </c>
      <c r="E9" t="s">
        <v>21</v>
      </c>
      <c r="F9" t="s">
        <v>64</v>
      </c>
      <c r="G9">
        <v>1579.9145707207999</v>
      </c>
    </row>
    <row r="10" spans="1:7" x14ac:dyDescent="0.25">
      <c r="A10" t="s">
        <v>101</v>
      </c>
      <c r="B10">
        <v>2025</v>
      </c>
      <c r="C10" t="s">
        <v>102</v>
      </c>
      <c r="D10" t="s">
        <v>103</v>
      </c>
      <c r="E10" t="s">
        <v>21</v>
      </c>
      <c r="F10" t="s">
        <v>64</v>
      </c>
      <c r="G10">
        <v>1625.4824131266896</v>
      </c>
    </row>
    <row r="11" spans="1:7" x14ac:dyDescent="0.25">
      <c r="A11" t="s">
        <v>101</v>
      </c>
      <c r="B11">
        <v>2025</v>
      </c>
      <c r="C11" t="s">
        <v>104</v>
      </c>
      <c r="D11" t="s">
        <v>103</v>
      </c>
      <c r="E11" t="s">
        <v>21</v>
      </c>
      <c r="F11" t="s">
        <v>64</v>
      </c>
      <c r="G11">
        <v>1669.108571869863</v>
      </c>
    </row>
    <row r="12" spans="1:7" x14ac:dyDescent="0.25">
      <c r="A12" t="s">
        <v>101</v>
      </c>
      <c r="B12">
        <v>2025</v>
      </c>
      <c r="C12" t="s">
        <v>105</v>
      </c>
      <c r="D12" t="s">
        <v>103</v>
      </c>
      <c r="E12" t="s">
        <v>21</v>
      </c>
      <c r="F12" t="s">
        <v>64</v>
      </c>
      <c r="G12">
        <v>1719.2083026832006</v>
      </c>
    </row>
    <row r="13" spans="1:7" x14ac:dyDescent="0.25">
      <c r="A13" t="s">
        <v>101</v>
      </c>
      <c r="B13">
        <v>2025</v>
      </c>
      <c r="C13" t="s">
        <v>106</v>
      </c>
      <c r="D13" t="s">
        <v>103</v>
      </c>
      <c r="E13" t="s">
        <v>21</v>
      </c>
      <c r="F13" t="s">
        <v>64</v>
      </c>
      <c r="G13">
        <v>1770.4196325945147</v>
      </c>
    </row>
    <row r="14" spans="1:7" x14ac:dyDescent="0.25">
      <c r="A14" t="s">
        <v>101</v>
      </c>
      <c r="B14">
        <v>2023</v>
      </c>
      <c r="C14" t="s">
        <v>102</v>
      </c>
      <c r="D14" t="s">
        <v>103</v>
      </c>
      <c r="E14" t="s">
        <v>21</v>
      </c>
      <c r="F14" t="s">
        <v>65</v>
      </c>
      <c r="G14">
        <v>261.0324318424361</v>
      </c>
    </row>
    <row r="15" spans="1:7" x14ac:dyDescent="0.25">
      <c r="A15" t="s">
        <v>101</v>
      </c>
      <c r="B15">
        <v>2023</v>
      </c>
      <c r="C15" t="s">
        <v>104</v>
      </c>
      <c r="D15" t="s">
        <v>103</v>
      </c>
      <c r="E15" t="s">
        <v>21</v>
      </c>
      <c r="F15" t="s">
        <v>65</v>
      </c>
      <c r="G15">
        <v>265.49974710968894</v>
      </c>
    </row>
    <row r="16" spans="1:7" x14ac:dyDescent="0.25">
      <c r="A16" t="s">
        <v>101</v>
      </c>
      <c r="B16">
        <v>2023</v>
      </c>
      <c r="C16" t="s">
        <v>105</v>
      </c>
      <c r="D16" t="s">
        <v>103</v>
      </c>
      <c r="E16" t="s">
        <v>21</v>
      </c>
      <c r="F16" t="s">
        <v>65</v>
      </c>
      <c r="G16">
        <v>284.00177735562784</v>
      </c>
    </row>
    <row r="17" spans="1:7" x14ac:dyDescent="0.25">
      <c r="A17" t="s">
        <v>101</v>
      </c>
      <c r="B17">
        <v>2023</v>
      </c>
      <c r="C17" t="s">
        <v>106</v>
      </c>
      <c r="D17" t="s">
        <v>103</v>
      </c>
      <c r="E17" t="s">
        <v>21</v>
      </c>
      <c r="F17" t="s">
        <v>65</v>
      </c>
      <c r="G17">
        <v>269.90844298357138</v>
      </c>
    </row>
    <row r="18" spans="1:7" x14ac:dyDescent="0.25">
      <c r="A18" t="s">
        <v>101</v>
      </c>
      <c r="B18">
        <v>2024</v>
      </c>
      <c r="C18" t="s">
        <v>102</v>
      </c>
      <c r="D18" t="s">
        <v>103</v>
      </c>
      <c r="E18" t="s">
        <v>21</v>
      </c>
      <c r="F18" t="s">
        <v>65</v>
      </c>
      <c r="G18">
        <v>269.20512434285547</v>
      </c>
    </row>
    <row r="19" spans="1:7" x14ac:dyDescent="0.25">
      <c r="A19" t="s">
        <v>101</v>
      </c>
      <c r="B19">
        <v>2024</v>
      </c>
      <c r="C19" t="s">
        <v>104</v>
      </c>
      <c r="D19" t="s">
        <v>103</v>
      </c>
      <c r="E19" t="s">
        <v>21</v>
      </c>
      <c r="F19" t="s">
        <v>65</v>
      </c>
      <c r="G19">
        <v>268.87171964706636</v>
      </c>
    </row>
    <row r="20" spans="1:7" x14ac:dyDescent="0.25">
      <c r="A20" t="s">
        <v>101</v>
      </c>
      <c r="B20">
        <v>2024</v>
      </c>
      <c r="C20" t="s">
        <v>105</v>
      </c>
      <c r="D20" t="s">
        <v>103</v>
      </c>
      <c r="E20" t="s">
        <v>21</v>
      </c>
      <c r="F20" t="s">
        <v>65</v>
      </c>
      <c r="G20">
        <v>261.20963034327553</v>
      </c>
    </row>
    <row r="21" spans="1:7" x14ac:dyDescent="0.25">
      <c r="A21" t="s">
        <v>101</v>
      </c>
      <c r="B21">
        <v>2024</v>
      </c>
      <c r="C21" t="s">
        <v>106</v>
      </c>
      <c r="D21" t="s">
        <v>103</v>
      </c>
      <c r="E21" t="s">
        <v>21</v>
      </c>
      <c r="F21" t="s">
        <v>65</v>
      </c>
      <c r="G21">
        <v>249.07599529331469</v>
      </c>
    </row>
    <row r="22" spans="1:7" x14ac:dyDescent="0.25">
      <c r="A22" t="s">
        <v>101</v>
      </c>
      <c r="B22">
        <v>2025</v>
      </c>
      <c r="C22" t="s">
        <v>102</v>
      </c>
      <c r="D22" t="s">
        <v>103</v>
      </c>
      <c r="E22" t="s">
        <v>21</v>
      </c>
      <c r="F22" t="s">
        <v>65</v>
      </c>
      <c r="G22">
        <v>280.72525400447029</v>
      </c>
    </row>
    <row r="23" spans="1:7" x14ac:dyDescent="0.25">
      <c r="A23" t="s">
        <v>101</v>
      </c>
      <c r="B23">
        <v>2025</v>
      </c>
      <c r="C23" t="s">
        <v>104</v>
      </c>
      <c r="D23" t="s">
        <v>103</v>
      </c>
      <c r="E23" t="s">
        <v>21</v>
      </c>
      <c r="F23" t="s">
        <v>65</v>
      </c>
      <c r="G23">
        <v>287.83389450785563</v>
      </c>
    </row>
    <row r="24" spans="1:7" x14ac:dyDescent="0.25">
      <c r="A24" t="s">
        <v>101</v>
      </c>
      <c r="B24">
        <v>2025</v>
      </c>
      <c r="C24" t="s">
        <v>105</v>
      </c>
      <c r="D24" t="s">
        <v>103</v>
      </c>
      <c r="E24" t="s">
        <v>21</v>
      </c>
      <c r="F24" t="s">
        <v>65</v>
      </c>
      <c r="G24">
        <v>281.51813210908875</v>
      </c>
    </row>
    <row r="25" spans="1:7" x14ac:dyDescent="0.25">
      <c r="A25" t="s">
        <v>101</v>
      </c>
      <c r="B25">
        <v>2025</v>
      </c>
      <c r="C25" t="s">
        <v>106</v>
      </c>
      <c r="D25" t="s">
        <v>103</v>
      </c>
      <c r="E25" t="s">
        <v>21</v>
      </c>
      <c r="F25" t="s">
        <v>65</v>
      </c>
      <c r="G25">
        <v>318.77545341054235</v>
      </c>
    </row>
    <row r="26" spans="1:7" x14ac:dyDescent="0.25">
      <c r="A26" t="s">
        <v>101</v>
      </c>
      <c r="B26">
        <v>2023</v>
      </c>
      <c r="C26" t="s">
        <v>102</v>
      </c>
      <c r="D26" t="s">
        <v>103</v>
      </c>
      <c r="E26" t="s">
        <v>21</v>
      </c>
      <c r="F26" t="s">
        <v>70</v>
      </c>
      <c r="G26">
        <v>3045.1297280432527</v>
      </c>
    </row>
    <row r="27" spans="1:7" x14ac:dyDescent="0.25">
      <c r="A27" t="s">
        <v>101</v>
      </c>
      <c r="B27">
        <v>2023</v>
      </c>
      <c r="C27" t="s">
        <v>104</v>
      </c>
      <c r="D27" t="s">
        <v>103</v>
      </c>
      <c r="E27" t="s">
        <v>21</v>
      </c>
      <c r="F27" t="s">
        <v>70</v>
      </c>
      <c r="G27">
        <v>3090.5479430164992</v>
      </c>
    </row>
    <row r="28" spans="1:7" x14ac:dyDescent="0.25">
      <c r="A28" t="s">
        <v>101</v>
      </c>
      <c r="B28">
        <v>2023</v>
      </c>
      <c r="C28" t="s">
        <v>105</v>
      </c>
      <c r="D28" t="s">
        <v>103</v>
      </c>
      <c r="E28" t="s">
        <v>21</v>
      </c>
      <c r="F28" t="s">
        <v>70</v>
      </c>
      <c r="G28">
        <v>3552.5213779763171</v>
      </c>
    </row>
    <row r="29" spans="1:7" x14ac:dyDescent="0.25">
      <c r="A29" t="s">
        <v>101</v>
      </c>
      <c r="B29">
        <v>2023</v>
      </c>
      <c r="C29" t="s">
        <v>106</v>
      </c>
      <c r="D29" t="s">
        <v>103</v>
      </c>
      <c r="E29" t="s">
        <v>21</v>
      </c>
      <c r="F29" t="s">
        <v>70</v>
      </c>
      <c r="G29">
        <v>3831.033458579067</v>
      </c>
    </row>
    <row r="30" spans="1:7" x14ac:dyDescent="0.25">
      <c r="A30" t="s">
        <v>101</v>
      </c>
      <c r="B30">
        <v>2024</v>
      </c>
      <c r="C30" t="s">
        <v>102</v>
      </c>
      <c r="D30" t="s">
        <v>103</v>
      </c>
      <c r="E30" t="s">
        <v>21</v>
      </c>
      <c r="F30" t="s">
        <v>70</v>
      </c>
      <c r="G30">
        <v>4334.5663300433444</v>
      </c>
    </row>
    <row r="31" spans="1:7" x14ac:dyDescent="0.25">
      <c r="A31" t="s">
        <v>101</v>
      </c>
      <c r="B31">
        <v>2024</v>
      </c>
      <c r="C31" t="s">
        <v>104</v>
      </c>
      <c r="D31" t="s">
        <v>103</v>
      </c>
      <c r="E31" t="s">
        <v>21</v>
      </c>
      <c r="F31" t="s">
        <v>70</v>
      </c>
      <c r="G31">
        <v>4463.8460764545343</v>
      </c>
    </row>
    <row r="32" spans="1:7" x14ac:dyDescent="0.25">
      <c r="A32" t="s">
        <v>101</v>
      </c>
      <c r="B32">
        <v>2024</v>
      </c>
      <c r="C32" t="s">
        <v>105</v>
      </c>
      <c r="D32" t="s">
        <v>103</v>
      </c>
      <c r="E32" t="s">
        <v>21</v>
      </c>
      <c r="F32" t="s">
        <v>70</v>
      </c>
      <c r="G32">
        <v>4545.6562650672095</v>
      </c>
    </row>
    <row r="33" spans="1:7" x14ac:dyDescent="0.25">
      <c r="A33" t="s">
        <v>101</v>
      </c>
      <c r="B33">
        <v>2024</v>
      </c>
      <c r="C33" t="s">
        <v>106</v>
      </c>
      <c r="D33" t="s">
        <v>103</v>
      </c>
      <c r="E33" t="s">
        <v>21</v>
      </c>
      <c r="F33" t="s">
        <v>70</v>
      </c>
      <c r="G33">
        <v>4853.0415300983441</v>
      </c>
    </row>
    <row r="34" spans="1:7" x14ac:dyDescent="0.25">
      <c r="A34" t="s">
        <v>101</v>
      </c>
      <c r="B34">
        <v>2025</v>
      </c>
      <c r="C34" t="s">
        <v>102</v>
      </c>
      <c r="D34" t="s">
        <v>103</v>
      </c>
      <c r="E34" t="s">
        <v>21</v>
      </c>
      <c r="F34" t="s">
        <v>70</v>
      </c>
      <c r="G34">
        <v>5220.1144743045124</v>
      </c>
    </row>
    <row r="35" spans="1:7" x14ac:dyDescent="0.25">
      <c r="A35" t="s">
        <v>101</v>
      </c>
      <c r="B35">
        <v>2025</v>
      </c>
      <c r="C35" t="s">
        <v>104</v>
      </c>
      <c r="D35" t="s">
        <v>103</v>
      </c>
      <c r="E35" t="s">
        <v>21</v>
      </c>
      <c r="F35" t="s">
        <v>70</v>
      </c>
      <c r="G35">
        <v>5802.2081723741831</v>
      </c>
    </row>
    <row r="36" spans="1:7" x14ac:dyDescent="0.25">
      <c r="A36" t="s">
        <v>101</v>
      </c>
      <c r="B36">
        <v>2025</v>
      </c>
      <c r="C36" t="s">
        <v>105</v>
      </c>
      <c r="D36" t="s">
        <v>103</v>
      </c>
      <c r="E36" t="s">
        <v>21</v>
      </c>
      <c r="F36" t="s">
        <v>70</v>
      </c>
      <c r="G36">
        <v>6133.3318474775015</v>
      </c>
    </row>
    <row r="37" spans="1:7" x14ac:dyDescent="0.25">
      <c r="A37" t="s">
        <v>101</v>
      </c>
      <c r="B37">
        <v>2025</v>
      </c>
      <c r="C37" t="s">
        <v>106</v>
      </c>
      <c r="D37" t="s">
        <v>103</v>
      </c>
      <c r="E37" t="s">
        <v>21</v>
      </c>
      <c r="F37" t="s">
        <v>70</v>
      </c>
      <c r="G37">
        <v>6888.5989616951692</v>
      </c>
    </row>
    <row r="38" spans="1:7" x14ac:dyDescent="0.25">
      <c r="A38" t="s">
        <v>101</v>
      </c>
      <c r="B38">
        <v>2023</v>
      </c>
      <c r="C38" t="s">
        <v>102</v>
      </c>
      <c r="D38" t="s">
        <v>103</v>
      </c>
      <c r="E38" t="s">
        <v>21</v>
      </c>
      <c r="F38" t="s">
        <v>71</v>
      </c>
      <c r="G38">
        <v>128.82975348740206</v>
      </c>
    </row>
    <row r="39" spans="1:7" x14ac:dyDescent="0.25">
      <c r="A39" t="s">
        <v>101</v>
      </c>
      <c r="B39">
        <v>2023</v>
      </c>
      <c r="C39" t="s">
        <v>104</v>
      </c>
      <c r="D39" t="s">
        <v>103</v>
      </c>
      <c r="E39" t="s">
        <v>21</v>
      </c>
      <c r="F39" t="s">
        <v>71</v>
      </c>
      <c r="G39">
        <v>134.67439761928912</v>
      </c>
    </row>
    <row r="40" spans="1:7" x14ac:dyDescent="0.25">
      <c r="A40" t="s">
        <v>101</v>
      </c>
      <c r="B40">
        <v>2023</v>
      </c>
      <c r="C40" t="s">
        <v>105</v>
      </c>
      <c r="D40" t="s">
        <v>103</v>
      </c>
      <c r="E40" t="s">
        <v>21</v>
      </c>
      <c r="F40" t="s">
        <v>71</v>
      </c>
      <c r="G40">
        <v>139.53920644560381</v>
      </c>
    </row>
    <row r="41" spans="1:7" x14ac:dyDescent="0.25">
      <c r="A41" t="s">
        <v>101</v>
      </c>
      <c r="B41">
        <v>2023</v>
      </c>
      <c r="C41" t="s">
        <v>106</v>
      </c>
      <c r="D41" t="s">
        <v>103</v>
      </c>
      <c r="E41" t="s">
        <v>21</v>
      </c>
      <c r="F41" t="s">
        <v>71</v>
      </c>
      <c r="G41">
        <v>142.34560998917291</v>
      </c>
    </row>
    <row r="42" spans="1:7" x14ac:dyDescent="0.25">
      <c r="A42" t="s">
        <v>101</v>
      </c>
      <c r="B42">
        <v>2024</v>
      </c>
      <c r="C42" t="s">
        <v>102</v>
      </c>
      <c r="D42" t="s">
        <v>103</v>
      </c>
      <c r="E42" t="s">
        <v>21</v>
      </c>
      <c r="F42" t="s">
        <v>71</v>
      </c>
      <c r="G42">
        <v>144.02960101823581</v>
      </c>
    </row>
    <row r="43" spans="1:7" x14ac:dyDescent="0.25">
      <c r="A43" t="s">
        <v>101</v>
      </c>
      <c r="B43">
        <v>2024</v>
      </c>
      <c r="C43" t="s">
        <v>104</v>
      </c>
      <c r="D43" t="s">
        <v>103</v>
      </c>
      <c r="E43" t="s">
        <v>21</v>
      </c>
      <c r="F43" t="s">
        <v>71</v>
      </c>
      <c r="G43">
        <v>147.31621766360294</v>
      </c>
    </row>
    <row r="44" spans="1:7" x14ac:dyDescent="0.25">
      <c r="A44" t="s">
        <v>101</v>
      </c>
      <c r="B44">
        <v>2024</v>
      </c>
      <c r="C44" t="s">
        <v>105</v>
      </c>
      <c r="D44" t="s">
        <v>103</v>
      </c>
      <c r="E44" t="s">
        <v>21</v>
      </c>
      <c r="F44" t="s">
        <v>71</v>
      </c>
      <c r="G44">
        <v>149.05273780364419</v>
      </c>
    </row>
    <row r="45" spans="1:7" x14ac:dyDescent="0.25">
      <c r="A45" t="s">
        <v>101</v>
      </c>
      <c r="B45">
        <v>2024</v>
      </c>
      <c r="C45" t="s">
        <v>106</v>
      </c>
      <c r="D45" t="s">
        <v>103</v>
      </c>
      <c r="E45" t="s">
        <v>21</v>
      </c>
      <c r="F45" t="s">
        <v>71</v>
      </c>
      <c r="G45">
        <v>155.5836265352481</v>
      </c>
    </row>
    <row r="46" spans="1:7" x14ac:dyDescent="0.25">
      <c r="A46" t="s">
        <v>101</v>
      </c>
      <c r="B46">
        <v>2025</v>
      </c>
      <c r="C46" t="s">
        <v>102</v>
      </c>
      <c r="D46" t="s">
        <v>103</v>
      </c>
      <c r="E46" t="s">
        <v>21</v>
      </c>
      <c r="F46" t="s">
        <v>71</v>
      </c>
      <c r="G46">
        <v>158.7910897914908</v>
      </c>
    </row>
    <row r="47" spans="1:7" x14ac:dyDescent="0.25">
      <c r="A47" t="s">
        <v>101</v>
      </c>
      <c r="B47">
        <v>2025</v>
      </c>
      <c r="C47" t="s">
        <v>104</v>
      </c>
      <c r="D47" t="s">
        <v>103</v>
      </c>
      <c r="E47" t="s">
        <v>21</v>
      </c>
      <c r="F47" t="s">
        <v>71</v>
      </c>
      <c r="G47">
        <v>160.55219753626932</v>
      </c>
    </row>
    <row r="48" spans="1:7" x14ac:dyDescent="0.25">
      <c r="A48" t="s">
        <v>101</v>
      </c>
      <c r="B48">
        <v>2025</v>
      </c>
      <c r="C48" t="s">
        <v>105</v>
      </c>
      <c r="D48" t="s">
        <v>103</v>
      </c>
      <c r="E48" t="s">
        <v>21</v>
      </c>
      <c r="F48" t="s">
        <v>71</v>
      </c>
      <c r="G48">
        <v>168.28769533932251</v>
      </c>
    </row>
    <row r="49" spans="1:7" x14ac:dyDescent="0.25">
      <c r="A49" t="s">
        <v>101</v>
      </c>
      <c r="B49">
        <v>2025</v>
      </c>
      <c r="C49" t="s">
        <v>106</v>
      </c>
      <c r="D49" t="s">
        <v>103</v>
      </c>
      <c r="E49" t="s">
        <v>21</v>
      </c>
      <c r="F49" t="s">
        <v>71</v>
      </c>
      <c r="G49">
        <v>170.20831021463476</v>
      </c>
    </row>
    <row r="50" spans="1:7" x14ac:dyDescent="0.25">
      <c r="A50" t="s">
        <v>101</v>
      </c>
      <c r="B50">
        <v>2023</v>
      </c>
      <c r="C50" t="s">
        <v>102</v>
      </c>
      <c r="D50" t="s">
        <v>103</v>
      </c>
      <c r="E50" t="s">
        <v>21</v>
      </c>
      <c r="F50" t="s">
        <v>72</v>
      </c>
      <c r="G50">
        <v>466.74773778966056</v>
      </c>
    </row>
    <row r="51" spans="1:7" x14ac:dyDescent="0.25">
      <c r="A51" t="s">
        <v>101</v>
      </c>
      <c r="B51">
        <v>2023</v>
      </c>
      <c r="C51" t="s">
        <v>104</v>
      </c>
      <c r="D51" t="s">
        <v>103</v>
      </c>
      <c r="E51" t="s">
        <v>21</v>
      </c>
      <c r="F51" t="s">
        <v>72</v>
      </c>
      <c r="G51">
        <v>479.10852457083382</v>
      </c>
    </row>
    <row r="52" spans="1:7" x14ac:dyDescent="0.25">
      <c r="A52" t="s">
        <v>101</v>
      </c>
      <c r="B52">
        <v>2023</v>
      </c>
      <c r="C52" t="s">
        <v>105</v>
      </c>
      <c r="D52" t="s">
        <v>103</v>
      </c>
      <c r="E52" t="s">
        <v>21</v>
      </c>
      <c r="F52" t="s">
        <v>72</v>
      </c>
      <c r="G52">
        <v>492.53368107939627</v>
      </c>
    </row>
    <row r="53" spans="1:7" x14ac:dyDescent="0.25">
      <c r="A53" t="s">
        <v>101</v>
      </c>
      <c r="B53">
        <v>2023</v>
      </c>
      <c r="C53" t="s">
        <v>106</v>
      </c>
      <c r="D53" t="s">
        <v>103</v>
      </c>
      <c r="E53" t="s">
        <v>21</v>
      </c>
      <c r="F53" t="s">
        <v>72</v>
      </c>
      <c r="G53">
        <v>515.17548698779183</v>
      </c>
    </row>
    <row r="54" spans="1:7" x14ac:dyDescent="0.25">
      <c r="A54" t="s">
        <v>101</v>
      </c>
      <c r="B54">
        <v>2024</v>
      </c>
      <c r="C54" t="s">
        <v>102</v>
      </c>
      <c r="D54" t="s">
        <v>103</v>
      </c>
      <c r="E54" t="s">
        <v>21</v>
      </c>
      <c r="F54" t="s">
        <v>72</v>
      </c>
      <c r="G54">
        <v>528.77931611078793</v>
      </c>
    </row>
    <row r="55" spans="1:7" x14ac:dyDescent="0.25">
      <c r="A55" t="s">
        <v>101</v>
      </c>
      <c r="B55">
        <v>2024</v>
      </c>
      <c r="C55" t="s">
        <v>104</v>
      </c>
      <c r="D55" t="s">
        <v>103</v>
      </c>
      <c r="E55" t="s">
        <v>21</v>
      </c>
      <c r="F55" t="s">
        <v>72</v>
      </c>
      <c r="G55">
        <v>544.84115924274636</v>
      </c>
    </row>
    <row r="56" spans="1:7" x14ac:dyDescent="0.25">
      <c r="A56" t="s">
        <v>101</v>
      </c>
      <c r="B56">
        <v>2024</v>
      </c>
      <c r="C56" t="s">
        <v>105</v>
      </c>
      <c r="D56" t="s">
        <v>103</v>
      </c>
      <c r="E56" t="s">
        <v>21</v>
      </c>
      <c r="F56" t="s">
        <v>72</v>
      </c>
      <c r="G56">
        <v>556.04155066691487</v>
      </c>
    </row>
    <row r="57" spans="1:7" x14ac:dyDescent="0.25">
      <c r="A57" t="s">
        <v>101</v>
      </c>
      <c r="B57">
        <v>2024</v>
      </c>
      <c r="C57" t="s">
        <v>106</v>
      </c>
      <c r="D57" t="s">
        <v>103</v>
      </c>
      <c r="E57" t="s">
        <v>21</v>
      </c>
      <c r="F57" t="s">
        <v>72</v>
      </c>
      <c r="G57">
        <v>571.86402567651908</v>
      </c>
    </row>
    <row r="58" spans="1:7" x14ac:dyDescent="0.25">
      <c r="A58" t="s">
        <v>101</v>
      </c>
      <c r="B58">
        <v>2025</v>
      </c>
      <c r="C58" t="s">
        <v>102</v>
      </c>
      <c r="D58" t="s">
        <v>103</v>
      </c>
      <c r="E58" t="s">
        <v>21</v>
      </c>
      <c r="F58" t="s">
        <v>72</v>
      </c>
      <c r="G58">
        <v>590.23953957237086</v>
      </c>
    </row>
    <row r="59" spans="1:7" x14ac:dyDescent="0.25">
      <c r="A59" t="s">
        <v>101</v>
      </c>
      <c r="B59">
        <v>2025</v>
      </c>
      <c r="C59" t="s">
        <v>104</v>
      </c>
      <c r="D59" t="s">
        <v>103</v>
      </c>
      <c r="E59" t="s">
        <v>21</v>
      </c>
      <c r="F59" t="s">
        <v>72</v>
      </c>
      <c r="G59">
        <v>617.6334723417333</v>
      </c>
    </row>
    <row r="60" spans="1:7" x14ac:dyDescent="0.25">
      <c r="A60" t="s">
        <v>101</v>
      </c>
      <c r="B60">
        <v>2025</v>
      </c>
      <c r="C60" t="s">
        <v>105</v>
      </c>
      <c r="D60" t="s">
        <v>103</v>
      </c>
      <c r="E60" t="s">
        <v>21</v>
      </c>
      <c r="F60" t="s">
        <v>72</v>
      </c>
      <c r="G60">
        <v>625.76083461715245</v>
      </c>
    </row>
    <row r="61" spans="1:7" x14ac:dyDescent="0.25">
      <c r="A61" t="s">
        <v>101</v>
      </c>
      <c r="B61">
        <v>2025</v>
      </c>
      <c r="C61" t="s">
        <v>106</v>
      </c>
      <c r="D61" t="s">
        <v>103</v>
      </c>
      <c r="E61" t="s">
        <v>21</v>
      </c>
      <c r="F61" t="s">
        <v>72</v>
      </c>
      <c r="G61">
        <v>649.43944353549239</v>
      </c>
    </row>
    <row r="62" spans="1:7" x14ac:dyDescent="0.25">
      <c r="A62" t="s">
        <v>101</v>
      </c>
      <c r="B62">
        <v>2023</v>
      </c>
      <c r="C62" t="s">
        <v>102</v>
      </c>
      <c r="D62" t="s">
        <v>103</v>
      </c>
      <c r="E62" t="s">
        <v>21</v>
      </c>
      <c r="F62" t="s">
        <v>73</v>
      </c>
      <c r="G62">
        <v>64.12</v>
      </c>
    </row>
    <row r="63" spans="1:7" x14ac:dyDescent="0.25">
      <c r="A63" t="s">
        <v>101</v>
      </c>
      <c r="B63">
        <v>2023</v>
      </c>
      <c r="C63" t="s">
        <v>104</v>
      </c>
      <c r="D63" t="s">
        <v>103</v>
      </c>
      <c r="E63" t="s">
        <v>21</v>
      </c>
      <c r="F63" t="s">
        <v>73</v>
      </c>
      <c r="G63">
        <v>64.12</v>
      </c>
    </row>
    <row r="64" spans="1:7" x14ac:dyDescent="0.25">
      <c r="A64" t="s">
        <v>101</v>
      </c>
      <c r="B64">
        <v>2023</v>
      </c>
      <c r="C64" t="s">
        <v>105</v>
      </c>
      <c r="D64" t="s">
        <v>103</v>
      </c>
      <c r="E64" t="s">
        <v>21</v>
      </c>
      <c r="F64" t="s">
        <v>73</v>
      </c>
      <c r="G64">
        <v>64.12</v>
      </c>
    </row>
    <row r="65" spans="1:7" x14ac:dyDescent="0.25">
      <c r="A65" t="s">
        <v>101</v>
      </c>
      <c r="B65">
        <v>2023</v>
      </c>
      <c r="C65" t="s">
        <v>106</v>
      </c>
      <c r="D65" t="s">
        <v>103</v>
      </c>
      <c r="E65" t="s">
        <v>21</v>
      </c>
      <c r="F65" t="s">
        <v>73</v>
      </c>
      <c r="G65">
        <v>64.12</v>
      </c>
    </row>
    <row r="66" spans="1:7" x14ac:dyDescent="0.25">
      <c r="A66" t="s">
        <v>101</v>
      </c>
      <c r="B66">
        <v>2024</v>
      </c>
      <c r="C66" t="s">
        <v>102</v>
      </c>
      <c r="D66" t="s">
        <v>103</v>
      </c>
      <c r="E66" t="s">
        <v>21</v>
      </c>
      <c r="F66" t="s">
        <v>73</v>
      </c>
      <c r="G66">
        <v>64.12</v>
      </c>
    </row>
    <row r="67" spans="1:7" x14ac:dyDescent="0.25">
      <c r="A67" t="s">
        <v>101</v>
      </c>
      <c r="B67">
        <v>2024</v>
      </c>
      <c r="C67" t="s">
        <v>104</v>
      </c>
      <c r="D67" t="s">
        <v>103</v>
      </c>
      <c r="E67" t="s">
        <v>21</v>
      </c>
      <c r="F67" t="s">
        <v>73</v>
      </c>
      <c r="G67">
        <v>64.12</v>
      </c>
    </row>
    <row r="68" spans="1:7" x14ac:dyDescent="0.25">
      <c r="A68" t="s">
        <v>101</v>
      </c>
      <c r="B68">
        <v>2024</v>
      </c>
      <c r="C68" t="s">
        <v>105</v>
      </c>
      <c r="D68" t="s">
        <v>103</v>
      </c>
      <c r="E68" t="s">
        <v>21</v>
      </c>
      <c r="F68" t="s">
        <v>73</v>
      </c>
      <c r="G68">
        <v>64.12</v>
      </c>
    </row>
    <row r="69" spans="1:7" x14ac:dyDescent="0.25">
      <c r="A69" t="s">
        <v>101</v>
      </c>
      <c r="B69">
        <v>2024</v>
      </c>
      <c r="C69" t="s">
        <v>106</v>
      </c>
      <c r="D69" t="s">
        <v>103</v>
      </c>
      <c r="E69" t="s">
        <v>21</v>
      </c>
      <c r="F69" t="s">
        <v>73</v>
      </c>
      <c r="G69">
        <v>64.12</v>
      </c>
    </row>
    <row r="70" spans="1:7" x14ac:dyDescent="0.25">
      <c r="A70" t="s">
        <v>101</v>
      </c>
      <c r="B70">
        <v>2025</v>
      </c>
      <c r="C70" t="s">
        <v>102</v>
      </c>
      <c r="D70" t="s">
        <v>103</v>
      </c>
      <c r="E70" t="s">
        <v>21</v>
      </c>
      <c r="F70" t="s">
        <v>73</v>
      </c>
      <c r="G70">
        <v>64.12</v>
      </c>
    </row>
    <row r="71" spans="1:7" x14ac:dyDescent="0.25">
      <c r="A71" t="s">
        <v>101</v>
      </c>
      <c r="B71">
        <v>2025</v>
      </c>
      <c r="C71" t="s">
        <v>104</v>
      </c>
      <c r="D71" t="s">
        <v>103</v>
      </c>
      <c r="E71" t="s">
        <v>21</v>
      </c>
      <c r="F71" t="s">
        <v>73</v>
      </c>
      <c r="G71">
        <v>64.12</v>
      </c>
    </row>
    <row r="72" spans="1:7" x14ac:dyDescent="0.25">
      <c r="A72" t="s">
        <v>101</v>
      </c>
      <c r="B72">
        <v>2025</v>
      </c>
      <c r="C72" t="s">
        <v>105</v>
      </c>
      <c r="D72" t="s">
        <v>103</v>
      </c>
      <c r="E72" t="s">
        <v>21</v>
      </c>
      <c r="F72" t="s">
        <v>73</v>
      </c>
      <c r="G72">
        <v>64.12</v>
      </c>
    </row>
    <row r="73" spans="1:7" x14ac:dyDescent="0.25">
      <c r="A73" t="s">
        <v>101</v>
      </c>
      <c r="B73">
        <v>2025</v>
      </c>
      <c r="C73" t="s">
        <v>106</v>
      </c>
      <c r="D73" t="s">
        <v>103</v>
      </c>
      <c r="E73" t="s">
        <v>21</v>
      </c>
      <c r="F73" t="s">
        <v>73</v>
      </c>
      <c r="G73">
        <v>64.12</v>
      </c>
    </row>
    <row r="74" spans="1:7" x14ac:dyDescent="0.25">
      <c r="A74" t="s">
        <v>101</v>
      </c>
      <c r="B74">
        <v>2023</v>
      </c>
      <c r="C74" t="s">
        <v>102</v>
      </c>
      <c r="D74" t="s">
        <v>103</v>
      </c>
      <c r="E74" t="s">
        <v>22</v>
      </c>
      <c r="F74" t="s">
        <v>64</v>
      </c>
      <c r="G74">
        <v>638.39155432293933</v>
      </c>
    </row>
    <row r="75" spans="1:7" x14ac:dyDescent="0.25">
      <c r="A75" t="s">
        <v>101</v>
      </c>
      <c r="B75">
        <v>2023</v>
      </c>
      <c r="C75" t="s">
        <v>104</v>
      </c>
      <c r="D75" t="s">
        <v>103</v>
      </c>
      <c r="E75" t="s">
        <v>22</v>
      </c>
      <c r="F75" t="s">
        <v>64</v>
      </c>
      <c r="G75">
        <v>655.91464087809538</v>
      </c>
    </row>
    <row r="76" spans="1:7" x14ac:dyDescent="0.25">
      <c r="A76" t="s">
        <v>101</v>
      </c>
      <c r="B76">
        <v>2023</v>
      </c>
      <c r="C76" t="s">
        <v>105</v>
      </c>
      <c r="D76" t="s">
        <v>103</v>
      </c>
      <c r="E76" t="s">
        <v>22</v>
      </c>
      <c r="F76" t="s">
        <v>64</v>
      </c>
      <c r="G76">
        <v>674.6616350484976</v>
      </c>
    </row>
    <row r="77" spans="1:7" x14ac:dyDescent="0.25">
      <c r="A77" t="s">
        <v>101</v>
      </c>
      <c r="B77">
        <v>2023</v>
      </c>
      <c r="C77" t="s">
        <v>106</v>
      </c>
      <c r="D77" t="s">
        <v>103</v>
      </c>
      <c r="E77" t="s">
        <v>22</v>
      </c>
      <c r="F77" t="s">
        <v>64</v>
      </c>
      <c r="G77">
        <v>692.6777658495206</v>
      </c>
    </row>
    <row r="78" spans="1:7" x14ac:dyDescent="0.25">
      <c r="A78" t="s">
        <v>101</v>
      </c>
      <c r="B78">
        <v>2024</v>
      </c>
      <c r="C78" t="s">
        <v>102</v>
      </c>
      <c r="D78" t="s">
        <v>103</v>
      </c>
      <c r="E78" t="s">
        <v>22</v>
      </c>
      <c r="F78" t="s">
        <v>64</v>
      </c>
      <c r="G78">
        <v>713.40520600541333</v>
      </c>
    </row>
    <row r="79" spans="1:7" x14ac:dyDescent="0.25">
      <c r="A79" t="s">
        <v>101</v>
      </c>
      <c r="B79">
        <v>2024</v>
      </c>
      <c r="C79" t="s">
        <v>104</v>
      </c>
      <c r="D79" t="s">
        <v>103</v>
      </c>
      <c r="E79" t="s">
        <v>22</v>
      </c>
      <c r="F79" t="s">
        <v>64</v>
      </c>
      <c r="G79">
        <v>740.52879498389268</v>
      </c>
    </row>
    <row r="80" spans="1:7" x14ac:dyDescent="0.25">
      <c r="A80" t="s">
        <v>101</v>
      </c>
      <c r="B80">
        <v>2024</v>
      </c>
      <c r="C80" t="s">
        <v>105</v>
      </c>
      <c r="D80" t="s">
        <v>103</v>
      </c>
      <c r="E80" t="s">
        <v>22</v>
      </c>
      <c r="F80" t="s">
        <v>64</v>
      </c>
      <c r="G80">
        <v>762.27514411131676</v>
      </c>
    </row>
    <row r="81" spans="1:7" x14ac:dyDescent="0.25">
      <c r="A81" t="s">
        <v>101</v>
      </c>
      <c r="B81">
        <v>2024</v>
      </c>
      <c r="C81" t="s">
        <v>106</v>
      </c>
      <c r="D81" t="s">
        <v>103</v>
      </c>
      <c r="E81" t="s">
        <v>22</v>
      </c>
      <c r="F81" t="s">
        <v>64</v>
      </c>
      <c r="G81">
        <v>783.19380326725661</v>
      </c>
    </row>
    <row r="82" spans="1:7" x14ac:dyDescent="0.25">
      <c r="A82" t="s">
        <v>101</v>
      </c>
      <c r="B82">
        <v>2025</v>
      </c>
      <c r="C82" t="s">
        <v>102</v>
      </c>
      <c r="D82" t="s">
        <v>103</v>
      </c>
      <c r="E82" t="s">
        <v>22</v>
      </c>
      <c r="F82" t="s">
        <v>64</v>
      </c>
      <c r="G82">
        <v>808.85227702686404</v>
      </c>
    </row>
    <row r="83" spans="1:7" x14ac:dyDescent="0.25">
      <c r="A83" t="s">
        <v>101</v>
      </c>
      <c r="B83">
        <v>2025</v>
      </c>
      <c r="C83" t="s">
        <v>104</v>
      </c>
      <c r="D83" t="s">
        <v>103</v>
      </c>
      <c r="E83" t="s">
        <v>22</v>
      </c>
      <c r="F83" t="s">
        <v>64</v>
      </c>
      <c r="G83">
        <v>839.5549913032587</v>
      </c>
    </row>
    <row r="84" spans="1:7" x14ac:dyDescent="0.25">
      <c r="A84" t="s">
        <v>101</v>
      </c>
      <c r="B84">
        <v>2025</v>
      </c>
      <c r="C84" t="s">
        <v>105</v>
      </c>
      <c r="D84" t="s">
        <v>103</v>
      </c>
      <c r="E84" t="s">
        <v>22</v>
      </c>
      <c r="F84" t="s">
        <v>64</v>
      </c>
      <c r="G84">
        <v>868.35887250127155</v>
      </c>
    </row>
    <row r="85" spans="1:7" x14ac:dyDescent="0.25">
      <c r="A85" t="s">
        <v>101</v>
      </c>
      <c r="B85">
        <v>2025</v>
      </c>
      <c r="C85" t="s">
        <v>106</v>
      </c>
      <c r="D85" t="s">
        <v>103</v>
      </c>
      <c r="E85" t="s">
        <v>22</v>
      </c>
      <c r="F85" t="s">
        <v>64</v>
      </c>
      <c r="G85">
        <v>891.31608643755521</v>
      </c>
    </row>
    <row r="86" spans="1:7" x14ac:dyDescent="0.25">
      <c r="A86" t="s">
        <v>101</v>
      </c>
      <c r="B86">
        <v>2023</v>
      </c>
      <c r="C86" t="s">
        <v>102</v>
      </c>
      <c r="D86" t="s">
        <v>103</v>
      </c>
      <c r="E86" t="s">
        <v>22</v>
      </c>
      <c r="F86" t="s">
        <v>65</v>
      </c>
      <c r="G86">
        <v>733.68749605800008</v>
      </c>
    </row>
    <row r="87" spans="1:7" x14ac:dyDescent="0.25">
      <c r="A87" t="s">
        <v>101</v>
      </c>
      <c r="B87">
        <v>2023</v>
      </c>
      <c r="C87" t="s">
        <v>104</v>
      </c>
      <c r="D87" t="s">
        <v>103</v>
      </c>
      <c r="E87" t="s">
        <v>22</v>
      </c>
      <c r="F87" t="s">
        <v>65</v>
      </c>
      <c r="G87">
        <v>965.50834941599987</v>
      </c>
    </row>
    <row r="88" spans="1:7" x14ac:dyDescent="0.25">
      <c r="A88" t="s">
        <v>101</v>
      </c>
      <c r="B88">
        <v>2023</v>
      </c>
      <c r="C88" t="s">
        <v>105</v>
      </c>
      <c r="D88" t="s">
        <v>103</v>
      </c>
      <c r="E88" t="s">
        <v>22</v>
      </c>
      <c r="F88" t="s">
        <v>65</v>
      </c>
      <c r="G88">
        <v>755.10175226399997</v>
      </c>
    </row>
    <row r="89" spans="1:7" x14ac:dyDescent="0.25">
      <c r="A89" t="s">
        <v>101</v>
      </c>
      <c r="B89">
        <v>2023</v>
      </c>
      <c r="C89" t="s">
        <v>106</v>
      </c>
      <c r="D89" t="s">
        <v>103</v>
      </c>
      <c r="E89" t="s">
        <v>22</v>
      </c>
      <c r="F89" t="s">
        <v>65</v>
      </c>
      <c r="G89">
        <v>648.81721488000017</v>
      </c>
    </row>
    <row r="90" spans="1:7" x14ac:dyDescent="0.25">
      <c r="A90" t="s">
        <v>101</v>
      </c>
      <c r="B90">
        <v>2024</v>
      </c>
      <c r="C90" t="s">
        <v>102</v>
      </c>
      <c r="D90" t="s">
        <v>103</v>
      </c>
      <c r="E90" t="s">
        <v>22</v>
      </c>
      <c r="F90" t="s">
        <v>65</v>
      </c>
      <c r="G90">
        <v>866.55734519999999</v>
      </c>
    </row>
    <row r="91" spans="1:7" x14ac:dyDescent="0.25">
      <c r="A91" t="s">
        <v>101</v>
      </c>
      <c r="B91">
        <v>2024</v>
      </c>
      <c r="C91" t="s">
        <v>104</v>
      </c>
      <c r="D91" t="s">
        <v>103</v>
      </c>
      <c r="E91" t="s">
        <v>22</v>
      </c>
      <c r="F91" t="s">
        <v>65</v>
      </c>
      <c r="G91">
        <v>957.69059879999998</v>
      </c>
    </row>
    <row r="92" spans="1:7" x14ac:dyDescent="0.25">
      <c r="A92" t="s">
        <v>101</v>
      </c>
      <c r="B92">
        <v>2024</v>
      </c>
      <c r="C92" t="s">
        <v>105</v>
      </c>
      <c r="D92" t="s">
        <v>103</v>
      </c>
      <c r="E92" t="s">
        <v>22</v>
      </c>
      <c r="F92" t="s">
        <v>65</v>
      </c>
      <c r="G92">
        <v>828.30601379999996</v>
      </c>
    </row>
    <row r="93" spans="1:7" x14ac:dyDescent="0.25">
      <c r="A93" t="s">
        <v>101</v>
      </c>
      <c r="B93">
        <v>2024</v>
      </c>
      <c r="C93" t="s">
        <v>106</v>
      </c>
      <c r="D93" t="s">
        <v>103</v>
      </c>
      <c r="E93" t="s">
        <v>22</v>
      </c>
      <c r="F93" t="s">
        <v>65</v>
      </c>
      <c r="G93">
        <v>608.79067508555295</v>
      </c>
    </row>
    <row r="94" spans="1:7" x14ac:dyDescent="0.25">
      <c r="A94" t="s">
        <v>101</v>
      </c>
      <c r="B94">
        <v>2025</v>
      </c>
      <c r="C94" t="s">
        <v>102</v>
      </c>
      <c r="D94" t="s">
        <v>103</v>
      </c>
      <c r="E94" t="s">
        <v>22</v>
      </c>
      <c r="F94" t="s">
        <v>65</v>
      </c>
      <c r="G94">
        <v>977.54154885360003</v>
      </c>
    </row>
    <row r="95" spans="1:7" x14ac:dyDescent="0.25">
      <c r="A95" t="s">
        <v>101</v>
      </c>
      <c r="B95">
        <v>2025</v>
      </c>
      <c r="C95" t="s">
        <v>104</v>
      </c>
      <c r="D95" t="s">
        <v>103</v>
      </c>
      <c r="E95" t="s">
        <v>22</v>
      </c>
      <c r="F95" t="s">
        <v>65</v>
      </c>
      <c r="G95">
        <v>1315.0039020013139</v>
      </c>
    </row>
    <row r="96" spans="1:7" x14ac:dyDescent="0.25">
      <c r="A96" t="s">
        <v>101</v>
      </c>
      <c r="B96">
        <v>2025</v>
      </c>
      <c r="C96" t="s">
        <v>105</v>
      </c>
      <c r="D96" t="s">
        <v>103</v>
      </c>
      <c r="E96" t="s">
        <v>22</v>
      </c>
      <c r="F96" t="s">
        <v>65</v>
      </c>
      <c r="G96">
        <v>856.92771477797896</v>
      </c>
    </row>
    <row r="97" spans="1:7" x14ac:dyDescent="0.25">
      <c r="A97" t="s">
        <v>101</v>
      </c>
      <c r="B97">
        <v>2025</v>
      </c>
      <c r="C97" t="s">
        <v>106</v>
      </c>
      <c r="D97" t="s">
        <v>103</v>
      </c>
      <c r="E97" t="s">
        <v>22</v>
      </c>
      <c r="F97" t="s">
        <v>65</v>
      </c>
      <c r="G97">
        <v>772.57751519999999</v>
      </c>
    </row>
    <row r="98" spans="1:7" x14ac:dyDescent="0.25">
      <c r="A98" t="s">
        <v>101</v>
      </c>
      <c r="B98">
        <v>2023</v>
      </c>
      <c r="C98" t="s">
        <v>102</v>
      </c>
      <c r="D98" t="s">
        <v>103</v>
      </c>
      <c r="E98" t="s">
        <v>22</v>
      </c>
      <c r="F98" t="s">
        <v>66</v>
      </c>
      <c r="G98">
        <v>255.21261994967159</v>
      </c>
    </row>
    <row r="99" spans="1:7" x14ac:dyDescent="0.25">
      <c r="A99" t="s">
        <v>101</v>
      </c>
      <c r="B99">
        <v>2023</v>
      </c>
      <c r="C99" t="s">
        <v>104</v>
      </c>
      <c r="D99" t="s">
        <v>103</v>
      </c>
      <c r="E99" t="s">
        <v>22</v>
      </c>
      <c r="F99" t="s">
        <v>66</v>
      </c>
      <c r="G99">
        <v>261.66167363925848</v>
      </c>
    </row>
    <row r="100" spans="1:7" x14ac:dyDescent="0.25">
      <c r="A100" t="s">
        <v>101</v>
      </c>
      <c r="B100">
        <v>2023</v>
      </c>
      <c r="C100" t="s">
        <v>105</v>
      </c>
      <c r="D100" t="s">
        <v>103</v>
      </c>
      <c r="E100" t="s">
        <v>22</v>
      </c>
      <c r="F100" t="s">
        <v>66</v>
      </c>
      <c r="G100">
        <v>268.89322297495977</v>
      </c>
    </row>
    <row r="101" spans="1:7" x14ac:dyDescent="0.25">
      <c r="A101" t="s">
        <v>101</v>
      </c>
      <c r="B101">
        <v>2023</v>
      </c>
      <c r="C101" t="s">
        <v>106</v>
      </c>
      <c r="D101" t="s">
        <v>103</v>
      </c>
      <c r="E101" t="s">
        <v>22</v>
      </c>
      <c r="F101" t="s">
        <v>66</v>
      </c>
      <c r="G101">
        <v>279.28990407799279</v>
      </c>
    </row>
    <row r="102" spans="1:7" x14ac:dyDescent="0.25">
      <c r="A102" t="s">
        <v>101</v>
      </c>
      <c r="B102">
        <v>2024</v>
      </c>
      <c r="C102" t="s">
        <v>102</v>
      </c>
      <c r="D102" t="s">
        <v>103</v>
      </c>
      <c r="E102" t="s">
        <v>22</v>
      </c>
      <c r="F102" t="s">
        <v>66</v>
      </c>
      <c r="G102">
        <v>287.01607252179087</v>
      </c>
    </row>
    <row r="103" spans="1:7" x14ac:dyDescent="0.25">
      <c r="A103" t="s">
        <v>101</v>
      </c>
      <c r="B103">
        <v>2024</v>
      </c>
      <c r="C103" t="s">
        <v>104</v>
      </c>
      <c r="D103" t="s">
        <v>103</v>
      </c>
      <c r="E103" t="s">
        <v>22</v>
      </c>
      <c r="F103" t="s">
        <v>66</v>
      </c>
      <c r="G103">
        <v>294.70104992360979</v>
      </c>
    </row>
    <row r="104" spans="1:7" x14ac:dyDescent="0.25">
      <c r="A104" t="s">
        <v>101</v>
      </c>
      <c r="B104">
        <v>2024</v>
      </c>
      <c r="C104" t="s">
        <v>105</v>
      </c>
      <c r="D104" t="s">
        <v>103</v>
      </c>
      <c r="E104" t="s">
        <v>22</v>
      </c>
      <c r="F104" t="s">
        <v>66</v>
      </c>
      <c r="G104">
        <v>304.07208380824227</v>
      </c>
    </row>
    <row r="105" spans="1:7" x14ac:dyDescent="0.25">
      <c r="A105" t="s">
        <v>101</v>
      </c>
      <c r="B105">
        <v>2024</v>
      </c>
      <c r="C105" t="s">
        <v>106</v>
      </c>
      <c r="D105" t="s">
        <v>103</v>
      </c>
      <c r="E105" t="s">
        <v>22</v>
      </c>
      <c r="F105" t="s">
        <v>66</v>
      </c>
      <c r="G105">
        <v>315.33863257908104</v>
      </c>
    </row>
    <row r="106" spans="1:7" x14ac:dyDescent="0.25">
      <c r="A106" t="s">
        <v>101</v>
      </c>
      <c r="B106">
        <v>2025</v>
      </c>
      <c r="C106" t="s">
        <v>102</v>
      </c>
      <c r="D106" t="s">
        <v>103</v>
      </c>
      <c r="E106" t="s">
        <v>22</v>
      </c>
      <c r="F106" t="s">
        <v>66</v>
      </c>
      <c r="G106">
        <v>323.49892675355699</v>
      </c>
    </row>
    <row r="107" spans="1:7" x14ac:dyDescent="0.25">
      <c r="A107" t="s">
        <v>101</v>
      </c>
      <c r="B107">
        <v>2025</v>
      </c>
      <c r="C107" t="s">
        <v>104</v>
      </c>
      <c r="D107" t="s">
        <v>103</v>
      </c>
      <c r="E107" t="s">
        <v>22</v>
      </c>
      <c r="F107" t="s">
        <v>66</v>
      </c>
      <c r="G107">
        <v>335.13530987660852</v>
      </c>
    </row>
    <row r="108" spans="1:7" x14ac:dyDescent="0.25">
      <c r="A108" t="s">
        <v>101</v>
      </c>
      <c r="B108">
        <v>2025</v>
      </c>
      <c r="C108" t="s">
        <v>105</v>
      </c>
      <c r="D108" t="s">
        <v>103</v>
      </c>
      <c r="E108" t="s">
        <v>22</v>
      </c>
      <c r="F108" t="s">
        <v>66</v>
      </c>
      <c r="G108">
        <v>346.93767598519776</v>
      </c>
    </row>
    <row r="109" spans="1:7" x14ac:dyDescent="0.25">
      <c r="A109" t="s">
        <v>101</v>
      </c>
      <c r="B109">
        <v>2025</v>
      </c>
      <c r="C109" t="s">
        <v>106</v>
      </c>
      <c r="D109" t="s">
        <v>103</v>
      </c>
      <c r="E109" t="s">
        <v>22</v>
      </c>
      <c r="F109" t="s">
        <v>66</v>
      </c>
      <c r="G109">
        <v>360.4032421385167</v>
      </c>
    </row>
    <row r="110" spans="1:7" x14ac:dyDescent="0.25">
      <c r="A110" t="s">
        <v>101</v>
      </c>
      <c r="B110">
        <v>2023</v>
      </c>
      <c r="C110" t="s">
        <v>102</v>
      </c>
      <c r="D110" t="s">
        <v>103</v>
      </c>
      <c r="E110" t="s">
        <v>22</v>
      </c>
      <c r="F110" t="s">
        <v>67</v>
      </c>
      <c r="G110">
        <v>89.794656742568591</v>
      </c>
    </row>
    <row r="111" spans="1:7" x14ac:dyDescent="0.25">
      <c r="A111" t="s">
        <v>101</v>
      </c>
      <c r="B111">
        <v>2023</v>
      </c>
      <c r="C111" t="s">
        <v>104</v>
      </c>
      <c r="D111" t="s">
        <v>103</v>
      </c>
      <c r="E111" t="s">
        <v>22</v>
      </c>
      <c r="F111" t="s">
        <v>67</v>
      </c>
      <c r="G111">
        <v>94.729324304306417</v>
      </c>
    </row>
    <row r="112" spans="1:7" x14ac:dyDescent="0.25">
      <c r="A112" t="s">
        <v>101</v>
      </c>
      <c r="B112">
        <v>2023</v>
      </c>
      <c r="C112" t="s">
        <v>105</v>
      </c>
      <c r="D112" t="s">
        <v>103</v>
      </c>
      <c r="E112" t="s">
        <v>22</v>
      </c>
      <c r="F112" t="s">
        <v>67</v>
      </c>
      <c r="G112">
        <v>94.498662508060193</v>
      </c>
    </row>
    <row r="113" spans="1:7" x14ac:dyDescent="0.25">
      <c r="A113" t="s">
        <v>101</v>
      </c>
      <c r="B113">
        <v>2023</v>
      </c>
      <c r="C113" t="s">
        <v>106</v>
      </c>
      <c r="D113" t="s">
        <v>103</v>
      </c>
      <c r="E113" t="s">
        <v>22</v>
      </c>
      <c r="F113" t="s">
        <v>67</v>
      </c>
      <c r="G113">
        <v>96.36830730816844</v>
      </c>
    </row>
    <row r="114" spans="1:7" x14ac:dyDescent="0.25">
      <c r="A114" t="s">
        <v>101</v>
      </c>
      <c r="B114">
        <v>2024</v>
      </c>
      <c r="C114" t="s">
        <v>102</v>
      </c>
      <c r="D114" t="s">
        <v>103</v>
      </c>
      <c r="E114" t="s">
        <v>22</v>
      </c>
      <c r="F114" t="s">
        <v>67</v>
      </c>
      <c r="G114">
        <v>97.423272662826093</v>
      </c>
    </row>
    <row r="115" spans="1:7" x14ac:dyDescent="0.25">
      <c r="A115" t="s">
        <v>101</v>
      </c>
      <c r="B115">
        <v>2024</v>
      </c>
      <c r="C115" t="s">
        <v>104</v>
      </c>
      <c r="D115" t="s">
        <v>103</v>
      </c>
      <c r="E115" t="s">
        <v>22</v>
      </c>
      <c r="F115" t="s">
        <v>67</v>
      </c>
      <c r="G115">
        <v>108.72562965415672</v>
      </c>
    </row>
    <row r="116" spans="1:7" x14ac:dyDescent="0.25">
      <c r="A116" t="s">
        <v>101</v>
      </c>
      <c r="B116">
        <v>2024</v>
      </c>
      <c r="C116" t="s">
        <v>105</v>
      </c>
      <c r="D116" t="s">
        <v>103</v>
      </c>
      <c r="E116" t="s">
        <v>22</v>
      </c>
      <c r="F116" t="s">
        <v>67</v>
      </c>
      <c r="G116">
        <v>122.09132932388484</v>
      </c>
    </row>
    <row r="117" spans="1:7" x14ac:dyDescent="0.25">
      <c r="A117" t="s">
        <v>101</v>
      </c>
      <c r="B117">
        <v>2024</v>
      </c>
      <c r="C117" t="s">
        <v>106</v>
      </c>
      <c r="D117" t="s">
        <v>103</v>
      </c>
      <c r="E117" t="s">
        <v>22</v>
      </c>
      <c r="F117" t="s">
        <v>67</v>
      </c>
      <c r="G117">
        <v>133.00659822465215</v>
      </c>
    </row>
    <row r="118" spans="1:7" x14ac:dyDescent="0.25">
      <c r="A118" t="s">
        <v>101</v>
      </c>
      <c r="B118">
        <v>2025</v>
      </c>
      <c r="C118" t="s">
        <v>102</v>
      </c>
      <c r="D118" t="s">
        <v>103</v>
      </c>
      <c r="E118" t="s">
        <v>22</v>
      </c>
      <c r="F118" t="s">
        <v>67</v>
      </c>
      <c r="G118">
        <v>143.68357747397508</v>
      </c>
    </row>
    <row r="119" spans="1:7" x14ac:dyDescent="0.25">
      <c r="A119" t="s">
        <v>101</v>
      </c>
      <c r="B119">
        <v>2025</v>
      </c>
      <c r="C119" t="s">
        <v>104</v>
      </c>
      <c r="D119" t="s">
        <v>103</v>
      </c>
      <c r="E119" t="s">
        <v>22</v>
      </c>
      <c r="F119" t="s">
        <v>67</v>
      </c>
      <c r="G119">
        <v>135.20747943023565</v>
      </c>
    </row>
    <row r="120" spans="1:7" x14ac:dyDescent="0.25">
      <c r="A120" t="s">
        <v>101</v>
      </c>
      <c r="B120">
        <v>2025</v>
      </c>
      <c r="C120" t="s">
        <v>105</v>
      </c>
      <c r="D120" t="s">
        <v>103</v>
      </c>
      <c r="E120" t="s">
        <v>22</v>
      </c>
      <c r="F120" t="s">
        <v>67</v>
      </c>
      <c r="G120">
        <v>130.22416461477982</v>
      </c>
    </row>
    <row r="121" spans="1:7" x14ac:dyDescent="0.25">
      <c r="A121" t="s">
        <v>101</v>
      </c>
      <c r="B121">
        <v>2025</v>
      </c>
      <c r="C121" t="s">
        <v>106</v>
      </c>
      <c r="D121" t="s">
        <v>103</v>
      </c>
      <c r="E121" t="s">
        <v>22</v>
      </c>
      <c r="F121" t="s">
        <v>67</v>
      </c>
      <c r="G121">
        <v>135.51892672031468</v>
      </c>
    </row>
    <row r="122" spans="1:7" x14ac:dyDescent="0.25">
      <c r="A122" t="s">
        <v>101</v>
      </c>
      <c r="B122">
        <v>2023</v>
      </c>
      <c r="C122" t="s">
        <v>102</v>
      </c>
      <c r="D122" t="s">
        <v>103</v>
      </c>
      <c r="E122" t="s">
        <v>22</v>
      </c>
      <c r="F122" t="s">
        <v>68</v>
      </c>
      <c r="G122">
        <v>20248.915002236776</v>
      </c>
    </row>
    <row r="123" spans="1:7" x14ac:dyDescent="0.25">
      <c r="A123" t="s">
        <v>101</v>
      </c>
      <c r="B123">
        <v>2023</v>
      </c>
      <c r="C123" t="s">
        <v>104</v>
      </c>
      <c r="D123" t="s">
        <v>103</v>
      </c>
      <c r="E123" t="s">
        <v>22</v>
      </c>
      <c r="F123" t="s">
        <v>68</v>
      </c>
      <c r="G123">
        <v>20250</v>
      </c>
    </row>
    <row r="124" spans="1:7" x14ac:dyDescent="0.25">
      <c r="A124" t="s">
        <v>101</v>
      </c>
      <c r="B124">
        <v>2023</v>
      </c>
      <c r="C124" t="s">
        <v>105</v>
      </c>
      <c r="D124" t="s">
        <v>103</v>
      </c>
      <c r="E124" t="s">
        <v>22</v>
      </c>
      <c r="F124" t="s">
        <v>68</v>
      </c>
      <c r="G124">
        <v>16969.1381932843</v>
      </c>
    </row>
    <row r="125" spans="1:7" x14ac:dyDescent="0.25">
      <c r="A125" t="s">
        <v>101</v>
      </c>
      <c r="B125">
        <v>2023</v>
      </c>
      <c r="C125" t="s">
        <v>106</v>
      </c>
      <c r="D125" t="s">
        <v>103</v>
      </c>
      <c r="E125" t="s">
        <v>22</v>
      </c>
      <c r="F125" t="s">
        <v>68</v>
      </c>
      <c r="G125">
        <v>15485.438912262587</v>
      </c>
    </row>
    <row r="126" spans="1:7" x14ac:dyDescent="0.25">
      <c r="A126" t="s">
        <v>101</v>
      </c>
      <c r="B126">
        <v>2024</v>
      </c>
      <c r="C126" t="s">
        <v>102</v>
      </c>
      <c r="D126" t="s">
        <v>103</v>
      </c>
      <c r="E126" t="s">
        <v>22</v>
      </c>
      <c r="F126" t="s">
        <v>68</v>
      </c>
      <c r="G126">
        <v>25411.760608069744</v>
      </c>
    </row>
    <row r="127" spans="1:7" x14ac:dyDescent="0.25">
      <c r="A127" t="s">
        <v>101</v>
      </c>
      <c r="B127">
        <v>2024</v>
      </c>
      <c r="C127" t="s">
        <v>104</v>
      </c>
      <c r="D127" t="s">
        <v>103</v>
      </c>
      <c r="E127" t="s">
        <v>22</v>
      </c>
      <c r="F127" t="s">
        <v>68</v>
      </c>
      <c r="G127">
        <v>23029.011959282914</v>
      </c>
    </row>
    <row r="128" spans="1:7" x14ac:dyDescent="0.25">
      <c r="A128" t="s">
        <v>101</v>
      </c>
      <c r="B128">
        <v>2024</v>
      </c>
      <c r="C128" t="s">
        <v>105</v>
      </c>
      <c r="D128" t="s">
        <v>103</v>
      </c>
      <c r="E128" t="s">
        <v>22</v>
      </c>
      <c r="F128" t="s">
        <v>68</v>
      </c>
      <c r="G128">
        <v>17590.926020717423</v>
      </c>
    </row>
    <row r="129" spans="1:7" x14ac:dyDescent="0.25">
      <c r="A129" t="s">
        <v>101</v>
      </c>
      <c r="B129">
        <v>2024</v>
      </c>
      <c r="C129" t="s">
        <v>106</v>
      </c>
      <c r="D129" t="s">
        <v>103</v>
      </c>
      <c r="E129" t="s">
        <v>22</v>
      </c>
      <c r="F129" t="s">
        <v>68</v>
      </c>
      <c r="G129">
        <v>9890.0063570553102</v>
      </c>
    </row>
    <row r="130" spans="1:7" x14ac:dyDescent="0.25">
      <c r="A130" t="s">
        <v>101</v>
      </c>
      <c r="B130">
        <v>2025</v>
      </c>
      <c r="C130" t="s">
        <v>102</v>
      </c>
      <c r="D130" t="s">
        <v>103</v>
      </c>
      <c r="E130" t="s">
        <v>22</v>
      </c>
      <c r="F130" t="s">
        <v>68</v>
      </c>
      <c r="G130">
        <v>27000.647722331592</v>
      </c>
    </row>
    <row r="131" spans="1:7" x14ac:dyDescent="0.25">
      <c r="A131" t="s">
        <v>101</v>
      </c>
      <c r="B131">
        <v>2025</v>
      </c>
      <c r="C131" t="s">
        <v>104</v>
      </c>
      <c r="D131" t="s">
        <v>103</v>
      </c>
      <c r="E131" t="s">
        <v>22</v>
      </c>
      <c r="F131" t="s">
        <v>68</v>
      </c>
      <c r="G131">
        <v>25273.36133467995</v>
      </c>
    </row>
    <row r="132" spans="1:7" x14ac:dyDescent="0.25">
      <c r="A132" t="s">
        <v>101</v>
      </c>
      <c r="B132">
        <v>2025</v>
      </c>
      <c r="C132" t="s">
        <v>105</v>
      </c>
      <c r="D132" t="s">
        <v>103</v>
      </c>
      <c r="E132" t="s">
        <v>22</v>
      </c>
      <c r="F132" t="s">
        <v>68</v>
      </c>
      <c r="G132">
        <v>18631.324381529714</v>
      </c>
    </row>
    <row r="133" spans="1:7" x14ac:dyDescent="0.25">
      <c r="A133" t="s">
        <v>101</v>
      </c>
      <c r="B133">
        <v>2025</v>
      </c>
      <c r="C133" t="s">
        <v>106</v>
      </c>
      <c r="D133" t="s">
        <v>103</v>
      </c>
      <c r="E133" t="s">
        <v>22</v>
      </c>
      <c r="F133" t="s">
        <v>68</v>
      </c>
      <c r="G133">
        <v>16056.09568432919</v>
      </c>
    </row>
    <row r="134" spans="1:7" x14ac:dyDescent="0.25">
      <c r="A134" t="s">
        <v>101</v>
      </c>
      <c r="B134">
        <v>2023</v>
      </c>
      <c r="C134" t="s">
        <v>102</v>
      </c>
      <c r="D134" t="s">
        <v>103</v>
      </c>
      <c r="E134" t="s">
        <v>22</v>
      </c>
      <c r="F134" t="s">
        <v>69</v>
      </c>
      <c r="G134">
        <v>152.18445035382226</v>
      </c>
    </row>
    <row r="135" spans="1:7" x14ac:dyDescent="0.25">
      <c r="A135" t="s">
        <v>101</v>
      </c>
      <c r="B135">
        <v>2023</v>
      </c>
      <c r="C135" t="s">
        <v>104</v>
      </c>
      <c r="D135" t="s">
        <v>103</v>
      </c>
      <c r="E135" t="s">
        <v>22</v>
      </c>
      <c r="F135" t="s">
        <v>69</v>
      </c>
      <c r="G135">
        <v>158.11961833235648</v>
      </c>
    </row>
    <row r="136" spans="1:7" x14ac:dyDescent="0.25">
      <c r="A136" t="s">
        <v>101</v>
      </c>
      <c r="B136">
        <v>2023</v>
      </c>
      <c r="C136" t="s">
        <v>105</v>
      </c>
      <c r="D136" t="s">
        <v>103</v>
      </c>
      <c r="E136" t="s">
        <v>22</v>
      </c>
      <c r="F136" t="s">
        <v>69</v>
      </c>
      <c r="G136">
        <v>163.24637486755012</v>
      </c>
    </row>
    <row r="137" spans="1:7" x14ac:dyDescent="0.25">
      <c r="A137" t="s">
        <v>101</v>
      </c>
      <c r="B137">
        <v>2023</v>
      </c>
      <c r="C137" t="s">
        <v>106</v>
      </c>
      <c r="D137" t="s">
        <v>103</v>
      </c>
      <c r="E137" t="s">
        <v>22</v>
      </c>
      <c r="F137" t="s">
        <v>69</v>
      </c>
      <c r="G137">
        <v>168.87378118012086</v>
      </c>
    </row>
    <row r="138" spans="1:7" x14ac:dyDescent="0.25">
      <c r="A138" t="s">
        <v>101</v>
      </c>
      <c r="B138">
        <v>2024</v>
      </c>
      <c r="C138" t="s">
        <v>102</v>
      </c>
      <c r="D138" t="s">
        <v>103</v>
      </c>
      <c r="E138" t="s">
        <v>22</v>
      </c>
      <c r="F138" t="s">
        <v>69</v>
      </c>
      <c r="G138">
        <v>173.1667487511005</v>
      </c>
    </row>
    <row r="139" spans="1:7" x14ac:dyDescent="0.25">
      <c r="A139" t="s">
        <v>101</v>
      </c>
      <c r="B139">
        <v>2024</v>
      </c>
      <c r="C139" t="s">
        <v>104</v>
      </c>
      <c r="D139" t="s">
        <v>103</v>
      </c>
      <c r="E139" t="s">
        <v>22</v>
      </c>
      <c r="F139" t="s">
        <v>69</v>
      </c>
      <c r="G139">
        <v>177.90490867328015</v>
      </c>
    </row>
    <row r="140" spans="1:7" x14ac:dyDescent="0.25">
      <c r="A140" t="s">
        <v>101</v>
      </c>
      <c r="B140">
        <v>2024</v>
      </c>
      <c r="C140" t="s">
        <v>105</v>
      </c>
      <c r="D140" t="s">
        <v>103</v>
      </c>
      <c r="E140" t="s">
        <v>22</v>
      </c>
      <c r="F140" t="s">
        <v>69</v>
      </c>
      <c r="G140">
        <v>182.86610049204506</v>
      </c>
    </row>
    <row r="141" spans="1:7" x14ac:dyDescent="0.25">
      <c r="A141" t="s">
        <v>101</v>
      </c>
      <c r="B141">
        <v>2024</v>
      </c>
      <c r="C141" t="s">
        <v>106</v>
      </c>
      <c r="D141" t="s">
        <v>103</v>
      </c>
      <c r="E141" t="s">
        <v>22</v>
      </c>
      <c r="F141" t="s">
        <v>69</v>
      </c>
      <c r="G141">
        <v>188.75785863517748</v>
      </c>
    </row>
    <row r="142" spans="1:7" x14ac:dyDescent="0.25">
      <c r="A142" t="s">
        <v>101</v>
      </c>
      <c r="B142">
        <v>2025</v>
      </c>
      <c r="C142" t="s">
        <v>102</v>
      </c>
      <c r="D142" t="s">
        <v>103</v>
      </c>
      <c r="E142" t="s">
        <v>22</v>
      </c>
      <c r="F142" t="s">
        <v>69</v>
      </c>
      <c r="G142">
        <v>194.11723032852402</v>
      </c>
    </row>
    <row r="143" spans="1:7" x14ac:dyDescent="0.25">
      <c r="A143" t="s">
        <v>101</v>
      </c>
      <c r="B143">
        <v>2025</v>
      </c>
      <c r="C143" t="s">
        <v>104</v>
      </c>
      <c r="D143" t="s">
        <v>103</v>
      </c>
      <c r="E143" t="s">
        <v>22</v>
      </c>
      <c r="F143" t="s">
        <v>69</v>
      </c>
      <c r="G143">
        <v>199.18243512836386</v>
      </c>
    </row>
    <row r="144" spans="1:7" x14ac:dyDescent="0.25">
      <c r="A144" t="s">
        <v>101</v>
      </c>
      <c r="B144">
        <v>2025</v>
      </c>
      <c r="C144" t="s">
        <v>105</v>
      </c>
      <c r="D144" t="s">
        <v>103</v>
      </c>
      <c r="E144" t="s">
        <v>22</v>
      </c>
      <c r="F144" t="s">
        <v>69</v>
      </c>
      <c r="G144">
        <v>206.07991375558515</v>
      </c>
    </row>
    <row r="145" spans="1:7" x14ac:dyDescent="0.25">
      <c r="A145" t="s">
        <v>101</v>
      </c>
      <c r="B145">
        <v>2025</v>
      </c>
      <c r="C145" t="s">
        <v>106</v>
      </c>
      <c r="D145" t="s">
        <v>103</v>
      </c>
      <c r="E145" t="s">
        <v>22</v>
      </c>
      <c r="F145" t="s">
        <v>69</v>
      </c>
      <c r="G145">
        <v>213.12097410314317</v>
      </c>
    </row>
    <row r="146" spans="1:7" x14ac:dyDescent="0.25">
      <c r="A146" t="s">
        <v>101</v>
      </c>
      <c r="B146">
        <v>2023</v>
      </c>
      <c r="C146" t="s">
        <v>102</v>
      </c>
      <c r="D146" t="s">
        <v>103</v>
      </c>
      <c r="E146" t="s">
        <v>23</v>
      </c>
      <c r="F146" t="s">
        <v>74</v>
      </c>
      <c r="G146">
        <v>2215.1826184907145</v>
      </c>
    </row>
    <row r="147" spans="1:7" x14ac:dyDescent="0.25">
      <c r="A147" t="s">
        <v>101</v>
      </c>
      <c r="B147">
        <v>2023</v>
      </c>
      <c r="C147" t="s">
        <v>104</v>
      </c>
      <c r="D147" t="s">
        <v>103</v>
      </c>
      <c r="E147" t="s">
        <v>23</v>
      </c>
      <c r="F147" t="s">
        <v>74</v>
      </c>
      <c r="G147">
        <v>1241</v>
      </c>
    </row>
    <row r="148" spans="1:7" x14ac:dyDescent="0.25">
      <c r="A148" t="s">
        <v>101</v>
      </c>
      <c r="B148">
        <v>2023</v>
      </c>
      <c r="C148" t="s">
        <v>105</v>
      </c>
      <c r="D148" t="s">
        <v>103</v>
      </c>
      <c r="E148" t="s">
        <v>23</v>
      </c>
      <c r="F148" t="s">
        <v>74</v>
      </c>
      <c r="G148">
        <v>2034.12</v>
      </c>
    </row>
    <row r="149" spans="1:7" x14ac:dyDescent="0.25">
      <c r="A149" t="s">
        <v>101</v>
      </c>
      <c r="B149">
        <v>2023</v>
      </c>
      <c r="C149" t="s">
        <v>106</v>
      </c>
      <c r="D149" t="s">
        <v>103</v>
      </c>
      <c r="E149" t="s">
        <v>23</v>
      </c>
      <c r="F149" t="s">
        <v>74</v>
      </c>
      <c r="G149">
        <v>2095.7683328878747</v>
      </c>
    </row>
    <row r="150" spans="1:7" x14ac:dyDescent="0.25">
      <c r="A150" t="s">
        <v>101</v>
      </c>
      <c r="B150">
        <v>2024</v>
      </c>
      <c r="C150" t="s">
        <v>102</v>
      </c>
      <c r="D150" t="s">
        <v>103</v>
      </c>
      <c r="E150" t="s">
        <v>23</v>
      </c>
      <c r="F150" t="s">
        <v>74</v>
      </c>
      <c r="G150">
        <v>2165.4236800731983</v>
      </c>
    </row>
    <row r="151" spans="1:7" x14ac:dyDescent="0.25">
      <c r="A151" t="s">
        <v>101</v>
      </c>
      <c r="B151">
        <v>2024</v>
      </c>
      <c r="C151" t="s">
        <v>104</v>
      </c>
      <c r="D151" t="s">
        <v>103</v>
      </c>
      <c r="E151" t="s">
        <v>23</v>
      </c>
      <c r="F151" t="s">
        <v>74</v>
      </c>
      <c r="G151">
        <v>2235.8768063070688</v>
      </c>
    </row>
    <row r="152" spans="1:7" x14ac:dyDescent="0.25">
      <c r="A152" t="s">
        <v>101</v>
      </c>
      <c r="B152">
        <v>2024</v>
      </c>
      <c r="C152" t="s">
        <v>105</v>
      </c>
      <c r="D152" t="s">
        <v>103</v>
      </c>
      <c r="E152" t="s">
        <v>23</v>
      </c>
      <c r="F152" t="s">
        <v>74</v>
      </c>
      <c r="G152">
        <v>2323.7166361814716</v>
      </c>
    </row>
    <row r="153" spans="1:7" x14ac:dyDescent="0.25">
      <c r="A153" t="s">
        <v>101</v>
      </c>
      <c r="B153">
        <v>2024</v>
      </c>
      <c r="C153" t="s">
        <v>106</v>
      </c>
      <c r="D153" t="s">
        <v>103</v>
      </c>
      <c r="E153" t="s">
        <v>23</v>
      </c>
      <c r="F153" t="s">
        <v>74</v>
      </c>
      <c r="G153">
        <v>2395.2776677217694</v>
      </c>
    </row>
    <row r="154" spans="1:7" x14ac:dyDescent="0.25">
      <c r="A154" t="s">
        <v>101</v>
      </c>
      <c r="B154">
        <v>2025</v>
      </c>
      <c r="C154" t="s">
        <v>102</v>
      </c>
      <c r="D154" t="s">
        <v>103</v>
      </c>
      <c r="E154" t="s">
        <v>23</v>
      </c>
      <c r="F154" t="s">
        <v>74</v>
      </c>
      <c r="G154">
        <v>2463.0501745536149</v>
      </c>
    </row>
    <row r="155" spans="1:7" x14ac:dyDescent="0.25">
      <c r="A155" t="s">
        <v>101</v>
      </c>
      <c r="B155">
        <v>2025</v>
      </c>
      <c r="C155" t="s">
        <v>104</v>
      </c>
      <c r="D155" t="s">
        <v>103</v>
      </c>
      <c r="E155" t="s">
        <v>23</v>
      </c>
      <c r="F155" t="s">
        <v>74</v>
      </c>
      <c r="G155">
        <v>2543.5204555795731</v>
      </c>
    </row>
    <row r="156" spans="1:7" x14ac:dyDescent="0.25">
      <c r="A156" t="s">
        <v>101</v>
      </c>
      <c r="B156">
        <v>2025</v>
      </c>
      <c r="C156" t="s">
        <v>105</v>
      </c>
      <c r="D156" t="s">
        <v>103</v>
      </c>
      <c r="E156" t="s">
        <v>23</v>
      </c>
      <c r="F156" t="s">
        <v>74</v>
      </c>
      <c r="G156">
        <v>2614.3000000000002</v>
      </c>
    </row>
    <row r="157" spans="1:7" x14ac:dyDescent="0.25">
      <c r="A157" t="s">
        <v>101</v>
      </c>
      <c r="B157">
        <v>2025</v>
      </c>
      <c r="C157" t="s">
        <v>106</v>
      </c>
      <c r="D157" t="s">
        <v>103</v>
      </c>
      <c r="E157" t="s">
        <v>23</v>
      </c>
      <c r="F157" t="s">
        <v>74</v>
      </c>
      <c r="G157">
        <v>2686.7172167309582</v>
      </c>
    </row>
    <row r="158" spans="1:7" x14ac:dyDescent="0.25">
      <c r="A158" t="s">
        <v>101</v>
      </c>
      <c r="B158">
        <v>2023</v>
      </c>
      <c r="C158" t="s">
        <v>102</v>
      </c>
      <c r="D158" t="s">
        <v>103</v>
      </c>
      <c r="E158" t="s">
        <v>23</v>
      </c>
      <c r="F158" t="s">
        <v>75</v>
      </c>
      <c r="G158">
        <v>2736.5476915560748</v>
      </c>
    </row>
    <row r="159" spans="1:7" x14ac:dyDescent="0.25">
      <c r="A159" t="s">
        <v>101</v>
      </c>
      <c r="B159">
        <v>2023</v>
      </c>
      <c r="C159" t="s">
        <v>104</v>
      </c>
      <c r="D159" t="s">
        <v>103</v>
      </c>
      <c r="E159" t="s">
        <v>23</v>
      </c>
      <c r="F159" t="s">
        <v>75</v>
      </c>
      <c r="G159">
        <v>143.87342375799085</v>
      </c>
    </row>
    <row r="160" spans="1:7" x14ac:dyDescent="0.25">
      <c r="A160" t="s">
        <v>101</v>
      </c>
      <c r="B160">
        <v>2023</v>
      </c>
      <c r="C160" t="s">
        <v>105</v>
      </c>
      <c r="D160" t="s">
        <v>103</v>
      </c>
      <c r="E160" t="s">
        <v>23</v>
      </c>
      <c r="F160" t="s">
        <v>75</v>
      </c>
      <c r="G160">
        <v>101.2528702518033</v>
      </c>
    </row>
    <row r="161" spans="1:7" x14ac:dyDescent="0.25">
      <c r="A161" t="s">
        <v>101</v>
      </c>
      <c r="B161">
        <v>2023</v>
      </c>
      <c r="C161" t="s">
        <v>106</v>
      </c>
      <c r="D161" t="s">
        <v>103</v>
      </c>
      <c r="E161" t="s">
        <v>23</v>
      </c>
      <c r="F161" t="s">
        <v>75</v>
      </c>
      <c r="G161">
        <v>13885.911132672525</v>
      </c>
    </row>
    <row r="162" spans="1:7" x14ac:dyDescent="0.25">
      <c r="A162" t="s">
        <v>101</v>
      </c>
      <c r="B162">
        <v>2024</v>
      </c>
      <c r="C162" t="s">
        <v>102</v>
      </c>
      <c r="D162" t="s">
        <v>103</v>
      </c>
      <c r="E162" t="s">
        <v>23</v>
      </c>
      <c r="F162" t="s">
        <v>75</v>
      </c>
      <c r="G162">
        <v>32749.535964911327</v>
      </c>
    </row>
    <row r="163" spans="1:7" x14ac:dyDescent="0.25">
      <c r="A163" t="s">
        <v>101</v>
      </c>
      <c r="B163">
        <v>2024</v>
      </c>
      <c r="C163" t="s">
        <v>104</v>
      </c>
      <c r="D163" t="s">
        <v>103</v>
      </c>
      <c r="E163" t="s">
        <v>23</v>
      </c>
      <c r="F163" t="s">
        <v>75</v>
      </c>
      <c r="G163">
        <v>3402.7360888669359</v>
      </c>
    </row>
    <row r="164" spans="1:7" x14ac:dyDescent="0.25">
      <c r="A164" t="s">
        <v>101</v>
      </c>
      <c r="B164">
        <v>2024</v>
      </c>
      <c r="C164" t="s">
        <v>105</v>
      </c>
      <c r="D164" t="s">
        <v>103</v>
      </c>
      <c r="E164" t="s">
        <v>23</v>
      </c>
      <c r="F164" t="s">
        <v>75</v>
      </c>
      <c r="G164">
        <v>12534.727116107357</v>
      </c>
    </row>
    <row r="165" spans="1:7" x14ac:dyDescent="0.25">
      <c r="A165" t="s">
        <v>101</v>
      </c>
      <c r="B165">
        <v>2024</v>
      </c>
      <c r="C165" t="s">
        <v>106</v>
      </c>
      <c r="D165" t="s">
        <v>103</v>
      </c>
      <c r="E165" t="s">
        <v>23</v>
      </c>
      <c r="F165" t="s">
        <v>75</v>
      </c>
      <c r="G165">
        <v>14584.228616970639</v>
      </c>
    </row>
    <row r="166" spans="1:7" x14ac:dyDescent="0.25">
      <c r="A166" t="s">
        <v>101</v>
      </c>
      <c r="B166">
        <v>2025</v>
      </c>
      <c r="C166" t="s">
        <v>102</v>
      </c>
      <c r="D166" t="s">
        <v>103</v>
      </c>
      <c r="E166" t="s">
        <v>23</v>
      </c>
      <c r="F166" t="s">
        <v>75</v>
      </c>
      <c r="G166">
        <v>18822.370851546475</v>
      </c>
    </row>
    <row r="167" spans="1:7" x14ac:dyDescent="0.25">
      <c r="A167" t="s">
        <v>101</v>
      </c>
      <c r="B167">
        <v>2025</v>
      </c>
      <c r="C167" t="s">
        <v>104</v>
      </c>
      <c r="D167" t="s">
        <v>103</v>
      </c>
      <c r="E167" t="s">
        <v>23</v>
      </c>
      <c r="F167" t="s">
        <v>75</v>
      </c>
      <c r="G167">
        <v>10284.650457792597</v>
      </c>
    </row>
    <row r="168" spans="1:7" x14ac:dyDescent="0.25">
      <c r="A168" t="s">
        <v>101</v>
      </c>
      <c r="B168">
        <v>2025</v>
      </c>
      <c r="C168" t="s">
        <v>105</v>
      </c>
      <c r="D168" t="s">
        <v>103</v>
      </c>
      <c r="E168" t="s">
        <v>23</v>
      </c>
      <c r="F168" t="s">
        <v>75</v>
      </c>
      <c r="G168">
        <v>247.52386311746159</v>
      </c>
    </row>
    <row r="169" spans="1:7" x14ac:dyDescent="0.25">
      <c r="A169" t="s">
        <v>101</v>
      </c>
      <c r="B169">
        <v>2025</v>
      </c>
      <c r="C169" t="s">
        <v>106</v>
      </c>
      <c r="D169" t="s">
        <v>103</v>
      </c>
      <c r="E169" t="s">
        <v>23</v>
      </c>
      <c r="F169" t="s">
        <v>75</v>
      </c>
      <c r="G169">
        <v>2927.0650999792788</v>
      </c>
    </row>
    <row r="170" spans="1:7" x14ac:dyDescent="0.25">
      <c r="A170" t="s">
        <v>101</v>
      </c>
      <c r="B170">
        <v>2023</v>
      </c>
      <c r="C170" t="s">
        <v>102</v>
      </c>
      <c r="D170" t="s">
        <v>103</v>
      </c>
      <c r="E170" t="s">
        <v>23</v>
      </c>
      <c r="F170" t="s">
        <v>77</v>
      </c>
      <c r="G170">
        <v>3221.0004130168604</v>
      </c>
    </row>
    <row r="171" spans="1:7" x14ac:dyDescent="0.25">
      <c r="A171" t="s">
        <v>101</v>
      </c>
      <c r="B171">
        <v>2023</v>
      </c>
      <c r="C171" t="s">
        <v>104</v>
      </c>
      <c r="D171" t="s">
        <v>103</v>
      </c>
      <c r="E171" t="s">
        <v>23</v>
      </c>
      <c r="F171" t="s">
        <v>77</v>
      </c>
      <c r="G171">
        <v>3310.4205827653018</v>
      </c>
    </row>
    <row r="172" spans="1:7" x14ac:dyDescent="0.25">
      <c r="A172" t="s">
        <v>101</v>
      </c>
      <c r="B172">
        <v>2023</v>
      </c>
      <c r="C172" t="s">
        <v>105</v>
      </c>
      <c r="D172" t="s">
        <v>103</v>
      </c>
      <c r="E172" t="s">
        <v>23</v>
      </c>
      <c r="F172" t="s">
        <v>77</v>
      </c>
      <c r="G172">
        <v>3430.8061251861768</v>
      </c>
    </row>
    <row r="173" spans="1:7" x14ac:dyDescent="0.25">
      <c r="A173" t="s">
        <v>101</v>
      </c>
      <c r="B173">
        <v>2023</v>
      </c>
      <c r="C173" t="s">
        <v>106</v>
      </c>
      <c r="D173" t="s">
        <v>103</v>
      </c>
      <c r="E173" t="s">
        <v>23</v>
      </c>
      <c r="F173" t="s">
        <v>77</v>
      </c>
      <c r="G173">
        <v>3548.9278063678285</v>
      </c>
    </row>
    <row r="174" spans="1:7" x14ac:dyDescent="0.25">
      <c r="A174" t="s">
        <v>101</v>
      </c>
      <c r="B174">
        <v>2024</v>
      </c>
      <c r="C174" t="s">
        <v>102</v>
      </c>
      <c r="D174" t="s">
        <v>103</v>
      </c>
      <c r="E174" t="s">
        <v>23</v>
      </c>
      <c r="F174" t="s">
        <v>77</v>
      </c>
      <c r="G174">
        <v>3643.2448151726326</v>
      </c>
    </row>
    <row r="175" spans="1:7" x14ac:dyDescent="0.25">
      <c r="A175" t="s">
        <v>101</v>
      </c>
      <c r="B175">
        <v>2024</v>
      </c>
      <c r="C175" t="s">
        <v>104</v>
      </c>
      <c r="D175" t="s">
        <v>103</v>
      </c>
      <c r="E175" t="s">
        <v>23</v>
      </c>
      <c r="F175" t="s">
        <v>77</v>
      </c>
      <c r="G175">
        <v>3749.3362282863081</v>
      </c>
    </row>
    <row r="176" spans="1:7" x14ac:dyDescent="0.25">
      <c r="A176" t="s">
        <v>101</v>
      </c>
      <c r="B176">
        <v>2024</v>
      </c>
      <c r="C176" t="s">
        <v>105</v>
      </c>
      <c r="D176" t="s">
        <v>103</v>
      </c>
      <c r="E176" t="s">
        <v>23</v>
      </c>
      <c r="F176" t="s">
        <v>77</v>
      </c>
      <c r="G176">
        <v>3855.3048067227951</v>
      </c>
    </row>
    <row r="177" spans="1:7" x14ac:dyDescent="0.25">
      <c r="A177" t="s">
        <v>101</v>
      </c>
      <c r="B177">
        <v>2024</v>
      </c>
      <c r="C177" t="s">
        <v>106</v>
      </c>
      <c r="D177" t="s">
        <v>103</v>
      </c>
      <c r="E177" t="s">
        <v>23</v>
      </c>
      <c r="F177" t="s">
        <v>77</v>
      </c>
      <c r="G177">
        <v>3995.3344463104381</v>
      </c>
    </row>
    <row r="178" spans="1:7" x14ac:dyDescent="0.25">
      <c r="A178" t="s">
        <v>101</v>
      </c>
      <c r="B178">
        <v>2025</v>
      </c>
      <c r="C178" t="s">
        <v>102</v>
      </c>
      <c r="D178" t="s">
        <v>103</v>
      </c>
      <c r="E178" t="s">
        <v>23</v>
      </c>
      <c r="F178" t="s">
        <v>77</v>
      </c>
      <c r="G178">
        <v>4120.1874903467024</v>
      </c>
    </row>
    <row r="179" spans="1:7" x14ac:dyDescent="0.25">
      <c r="A179" t="s">
        <v>101</v>
      </c>
      <c r="B179">
        <v>2025</v>
      </c>
      <c r="C179" t="s">
        <v>104</v>
      </c>
      <c r="D179" t="s">
        <v>103</v>
      </c>
      <c r="E179" t="s">
        <v>23</v>
      </c>
      <c r="F179" t="s">
        <v>77</v>
      </c>
      <c r="G179">
        <v>4269.1830524684183</v>
      </c>
    </row>
    <row r="180" spans="1:7" x14ac:dyDescent="0.25">
      <c r="A180" t="s">
        <v>101</v>
      </c>
      <c r="B180">
        <v>2025</v>
      </c>
      <c r="C180" t="s">
        <v>105</v>
      </c>
      <c r="D180" t="s">
        <v>103</v>
      </c>
      <c r="E180" t="s">
        <v>23</v>
      </c>
      <c r="F180" t="s">
        <v>77</v>
      </c>
      <c r="G180">
        <v>4419.8354697863879</v>
      </c>
    </row>
    <row r="181" spans="1:7" x14ac:dyDescent="0.25">
      <c r="A181" t="s">
        <v>101</v>
      </c>
      <c r="B181">
        <v>2025</v>
      </c>
      <c r="C181" t="s">
        <v>106</v>
      </c>
      <c r="D181" t="s">
        <v>103</v>
      </c>
      <c r="E181" t="s">
        <v>23</v>
      </c>
      <c r="F181" t="s">
        <v>77</v>
      </c>
      <c r="G181">
        <v>4596.4835131517184</v>
      </c>
    </row>
    <row r="182" spans="1:7" x14ac:dyDescent="0.25">
      <c r="A182" t="s">
        <v>101</v>
      </c>
      <c r="B182">
        <v>2023</v>
      </c>
      <c r="C182" t="s">
        <v>102</v>
      </c>
      <c r="D182" t="s">
        <v>103</v>
      </c>
      <c r="E182" t="s">
        <v>23</v>
      </c>
      <c r="F182" t="s">
        <v>76</v>
      </c>
      <c r="G182">
        <v>946.66927693634955</v>
      </c>
    </row>
    <row r="183" spans="1:7" x14ac:dyDescent="0.25">
      <c r="A183" t="s">
        <v>101</v>
      </c>
      <c r="B183">
        <v>2023</v>
      </c>
      <c r="C183" t="s">
        <v>104</v>
      </c>
      <c r="D183" t="s">
        <v>103</v>
      </c>
      <c r="E183" t="s">
        <v>23</v>
      </c>
      <c r="F183" t="s">
        <v>76</v>
      </c>
      <c r="G183">
        <v>972.70599347670736</v>
      </c>
    </row>
    <row r="184" spans="1:7" x14ac:dyDescent="0.25">
      <c r="A184" t="s">
        <v>101</v>
      </c>
      <c r="B184">
        <v>2023</v>
      </c>
      <c r="C184" t="s">
        <v>105</v>
      </c>
      <c r="D184" t="s">
        <v>103</v>
      </c>
      <c r="E184" t="s">
        <v>23</v>
      </c>
      <c r="F184" t="s">
        <v>76</v>
      </c>
      <c r="G184">
        <v>1008.82100456202</v>
      </c>
    </row>
    <row r="185" spans="1:7" x14ac:dyDescent="0.25">
      <c r="A185" t="s">
        <v>101</v>
      </c>
      <c r="B185">
        <v>2023</v>
      </c>
      <c r="C185" t="s">
        <v>106</v>
      </c>
      <c r="D185" t="s">
        <v>103</v>
      </c>
      <c r="E185" t="s">
        <v>23</v>
      </c>
      <c r="F185" t="s">
        <v>76</v>
      </c>
      <c r="G185">
        <v>1039.3927280717717</v>
      </c>
    </row>
    <row r="186" spans="1:7" x14ac:dyDescent="0.25">
      <c r="A186" t="s">
        <v>101</v>
      </c>
      <c r="B186">
        <v>2024</v>
      </c>
      <c r="C186" t="s">
        <v>102</v>
      </c>
      <c r="D186" t="s">
        <v>103</v>
      </c>
      <c r="E186" t="s">
        <v>23</v>
      </c>
      <c r="F186" t="s">
        <v>76</v>
      </c>
      <c r="G186">
        <v>1080.795539842843</v>
      </c>
    </row>
    <row r="187" spans="1:7" x14ac:dyDescent="0.25">
      <c r="A187" t="s">
        <v>101</v>
      </c>
      <c r="B187">
        <v>2024</v>
      </c>
      <c r="C187" t="s">
        <v>104</v>
      </c>
      <c r="D187" t="s">
        <v>103</v>
      </c>
      <c r="E187" t="s">
        <v>23</v>
      </c>
      <c r="F187" t="s">
        <v>76</v>
      </c>
      <c r="G187">
        <v>1108.150876539687</v>
      </c>
    </row>
    <row r="188" spans="1:7" x14ac:dyDescent="0.25">
      <c r="A188" t="s">
        <v>101</v>
      </c>
      <c r="B188">
        <v>2024</v>
      </c>
      <c r="C188" t="s">
        <v>105</v>
      </c>
      <c r="D188" t="s">
        <v>103</v>
      </c>
      <c r="E188" t="s">
        <v>23</v>
      </c>
      <c r="F188" t="s">
        <v>76</v>
      </c>
      <c r="G188">
        <v>1139.2514409883765</v>
      </c>
    </row>
    <row r="189" spans="1:7" x14ac:dyDescent="0.25">
      <c r="A189" t="s">
        <v>101</v>
      </c>
      <c r="B189">
        <v>2024</v>
      </c>
      <c r="C189" t="s">
        <v>106</v>
      </c>
      <c r="D189" t="s">
        <v>103</v>
      </c>
      <c r="E189" t="s">
        <v>23</v>
      </c>
      <c r="F189" t="s">
        <v>76</v>
      </c>
      <c r="G189">
        <v>1172.4592689971523</v>
      </c>
    </row>
    <row r="190" spans="1:7" x14ac:dyDescent="0.25">
      <c r="A190" t="s">
        <v>101</v>
      </c>
      <c r="B190">
        <v>2025</v>
      </c>
      <c r="C190" t="s">
        <v>102</v>
      </c>
      <c r="D190" t="s">
        <v>103</v>
      </c>
      <c r="E190" t="s">
        <v>23</v>
      </c>
      <c r="F190" t="s">
        <v>76</v>
      </c>
      <c r="G190">
        <v>1218.2914835532049</v>
      </c>
    </row>
    <row r="191" spans="1:7" x14ac:dyDescent="0.25">
      <c r="A191" t="s">
        <v>101</v>
      </c>
      <c r="B191">
        <v>2025</v>
      </c>
      <c r="C191" t="s">
        <v>104</v>
      </c>
      <c r="D191" t="s">
        <v>103</v>
      </c>
      <c r="E191" t="s">
        <v>23</v>
      </c>
      <c r="F191" t="s">
        <v>76</v>
      </c>
      <c r="G191">
        <v>1251.6460341594116</v>
      </c>
    </row>
    <row r="192" spans="1:7" x14ac:dyDescent="0.25">
      <c r="A192" t="s">
        <v>101</v>
      </c>
      <c r="B192">
        <v>2025</v>
      </c>
      <c r="C192" t="s">
        <v>105</v>
      </c>
      <c r="D192" t="s">
        <v>103</v>
      </c>
      <c r="E192" t="s">
        <v>23</v>
      </c>
      <c r="F192" t="s">
        <v>76</v>
      </c>
      <c r="G192">
        <v>1296.3406670961504</v>
      </c>
    </row>
    <row r="193" spans="1:7" x14ac:dyDescent="0.25">
      <c r="A193" t="s">
        <v>101</v>
      </c>
      <c r="B193">
        <v>2025</v>
      </c>
      <c r="C193" t="s">
        <v>106</v>
      </c>
      <c r="D193" t="s">
        <v>103</v>
      </c>
      <c r="E193" t="s">
        <v>23</v>
      </c>
      <c r="F193" t="s">
        <v>76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2026-09-24T06:09:30Z</dcterms:modified>
</cp:coreProperties>
</file>