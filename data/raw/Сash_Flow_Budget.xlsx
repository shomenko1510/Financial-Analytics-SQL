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2777" windowHeight="8665" tabRatio="924" activeTab="6"/>
  </bookViews>
  <sheets>
    <sheet name="Cash Flow Statement_Budget" sheetId="1" r:id="rId1"/>
    <sheet name="Sales_Budget" sheetId="2" r:id="rId2"/>
    <sheet name="COGS_Budget" sheetId="26" r:id="rId3"/>
    <sheet name="Working Capital_Budget" sheetId="34" r:id="rId4"/>
    <sheet name="CapEx_Budget" sheetId="3" r:id="rId5"/>
    <sheet name="Debt Schedule_Budget" sheetId="6" r:id="rId6"/>
    <sheet name="OPEX_Budget" sheetId="35" r:id="rId7"/>
  </sheets>
  <externalReferences>
    <externalReference r:id="rId8"/>
  </externalReferenc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9" i="35" l="1"/>
  <c r="Q10" i="35"/>
  <c r="R10" i="35" s="1"/>
  <c r="S10" i="35" s="1"/>
  <c r="T10" i="35" s="1"/>
  <c r="U10" i="35" s="1"/>
  <c r="V10" i="35" s="1"/>
  <c r="W10" i="35" s="1"/>
  <c r="X10" i="35" s="1"/>
  <c r="Y10" i="35" s="1"/>
  <c r="Z10" i="35" s="1"/>
  <c r="AA10" i="35" s="1"/>
  <c r="AA9" i="35"/>
  <c r="Z9" i="35"/>
  <c r="Y9" i="35"/>
  <c r="X9" i="35"/>
  <c r="W9" i="35"/>
  <c r="V9" i="35"/>
  <c r="U9" i="35"/>
  <c r="T9" i="35"/>
  <c r="S9" i="35"/>
  <c r="R9" i="35"/>
  <c r="Q9" i="35"/>
  <c r="P9" i="35"/>
  <c r="Q8" i="35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Q6" i="35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Q5" i="35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Q4" i="35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Q3" i="35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Q2" i="35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K3" i="3" l="1"/>
  <c r="L2" i="3" s="1"/>
  <c r="L3" i="3" s="1"/>
  <c r="M2" i="3" s="1"/>
  <c r="M3" i="3" s="1"/>
  <c r="N2" i="3" s="1"/>
  <c r="N3" i="3" s="1"/>
  <c r="J3" i="3"/>
  <c r="G3" i="3"/>
  <c r="H2" i="3" s="1"/>
  <c r="H3" i="3" s="1"/>
  <c r="I2" i="3" s="1"/>
  <c r="I3" i="3" s="1"/>
  <c r="J2" i="3" s="1"/>
  <c r="G4" i="3"/>
  <c r="F3" i="3"/>
  <c r="G2" i="3" s="1"/>
  <c r="C3" i="3"/>
  <c r="D3" i="3"/>
  <c r="B3" i="3"/>
  <c r="C2" i="3" s="1"/>
  <c r="D2" i="3"/>
  <c r="E2" i="3"/>
  <c r="E3" i="3" s="1"/>
  <c r="F2" i="3" s="1"/>
  <c r="K2" i="3"/>
  <c r="D5" i="3"/>
  <c r="C5" i="3"/>
  <c r="D4" i="3"/>
  <c r="E4" i="3"/>
  <c r="E5" i="3" s="1"/>
  <c r="F4" i="3" s="1"/>
  <c r="F5" i="3" s="1"/>
  <c r="C4" i="3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5" i="3" l="1"/>
  <c r="H4" i="3"/>
  <c r="C5" i="6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J36" i="2" s="1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7" i="6"/>
  <c r="C2" i="6"/>
  <c r="C7" i="6" s="1"/>
  <c r="C12" i="1" s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N36" i="2" l="1"/>
  <c r="M36" i="2"/>
  <c r="L36" i="2"/>
  <c r="I36" i="2"/>
  <c r="K36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R5" i="1" s="1"/>
  <c r="R15" i="1" s="1"/>
  <c r="R16" i="1" s="1"/>
  <c r="R17" i="1" s="1"/>
  <c r="Q17" i="2"/>
  <c r="Q36" i="2" s="1"/>
  <c r="Q3" i="1" s="1"/>
  <c r="Q5" i="1" s="1"/>
  <c r="Q15" i="1" s="1"/>
  <c r="Q16" i="1" s="1"/>
  <c r="Q17" i="1" s="1"/>
  <c r="P17" i="2"/>
  <c r="P36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T5" i="1" s="1"/>
  <c r="T15" i="1" s="1"/>
  <c r="T16" i="1" s="1"/>
  <c r="T17" i="1" s="1"/>
  <c r="T21" i="1" s="1"/>
  <c r="V36" i="2"/>
  <c r="V3" i="1" s="1"/>
  <c r="V5" i="1" s="1"/>
  <c r="V15" i="1" s="1"/>
  <c r="V16" i="1" s="1"/>
  <c r="V17" i="1" s="1"/>
  <c r="V21" i="1" s="1"/>
  <c r="U36" i="2"/>
  <c r="U3" i="1" s="1"/>
  <c r="U5" i="1" s="1"/>
  <c r="U15" i="1" s="1"/>
  <c r="U16" i="1" s="1"/>
  <c r="U17" i="1" s="1"/>
  <c r="U21" i="1" s="1"/>
  <c r="T32" i="1" l="1"/>
  <c r="T33" i="1" s="1"/>
  <c r="X36" i="2"/>
  <c r="X3" i="1" s="1"/>
  <c r="X5" i="1" s="1"/>
  <c r="X15" i="1" s="1"/>
  <c r="X16" i="1" s="1"/>
  <c r="X17" i="1" s="1"/>
  <c r="X21" i="1" s="1"/>
  <c r="Y36" i="2"/>
  <c r="Y3" i="1" s="1"/>
  <c r="Y5" i="1" s="1"/>
  <c r="Y15" i="1" s="1"/>
  <c r="Y16" i="1" s="1"/>
  <c r="Y17" i="1" s="1"/>
  <c r="Y21" i="1" s="1"/>
  <c r="Z36" i="2"/>
  <c r="Z3" i="1" s="1"/>
  <c r="Z5" i="1" s="1"/>
  <c r="Z15" i="1" s="1"/>
  <c r="Z16" i="1" s="1"/>
  <c r="Z17" i="1" s="1"/>
  <c r="Z21" i="1" s="1"/>
  <c r="X32" i="1" l="1"/>
  <c r="X33" i="1" s="1"/>
  <c r="O4" i="1" l="1"/>
  <c r="O36" i="2" l="1"/>
  <c r="O3" i="1" l="1"/>
  <c r="O5" i="1" s="1"/>
  <c r="S36" i="2"/>
  <c r="S3" i="1" s="1"/>
  <c r="S5" i="1" s="1"/>
  <c r="S15" i="1" s="1"/>
  <c r="S16" i="1" s="1"/>
  <c r="S17" i="1" s="1"/>
  <c r="S21" i="1" s="1"/>
  <c r="W36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6" i="2"/>
  <c r="B3" i="1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6" i="2"/>
  <c r="C3" i="1" s="1"/>
  <c r="F36" i="26"/>
  <c r="F4" i="1" s="1"/>
  <c r="G36" i="2"/>
  <c r="G3" i="1" s="1"/>
  <c r="E36" i="2"/>
  <c r="E3" i="1" s="1"/>
  <c r="D36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6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sharedStrings.xml><?xml version="1.0" encoding="utf-8"?>
<sst xmlns="http://schemas.openxmlformats.org/spreadsheetml/2006/main" count="157" uniqueCount="80">
  <si>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</si>
  <si>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</si>
  <si>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</si>
  <si>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</si>
  <si>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</si>
  <si>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</si>
  <si>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</si>
  <si>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</si>
  <si>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</si>
  <si>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</si>
  <si>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</si>
  <si>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</si>
  <si>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</si>
  <si>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</si>
  <si>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</si>
  <si>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</si>
  <si>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</si>
  <si>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</si>
  <si>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</si>
  <si>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</si>
  <si>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</si>
  <si>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</si>
  <si>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</si>
  <si>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</si>
  <si>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</si>
  <si>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</si>
  <si>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</si>
  <si>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</si>
  <si>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</si>
  <si>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</si>
  <si>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</si>
  <si>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</si>
  <si>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</si>
  <si>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</si>
  <si>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</si>
  <si>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</si>
  <si>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</si>
  <si>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</si>
  <si>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</si>
  <si>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</si>
  <si>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</si>
  <si>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</si>
  <si>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</si>
  <si>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</si>
  <si>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</si>
  <si>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</si>
  <si>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</si>
  <si>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</si>
  <si>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</si>
  <si>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</si>
  <si>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</si>
  <si>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</si>
  <si>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</si>
  <si>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</si>
  <si>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</si>
  <si>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</si>
  <si>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</si>
  <si>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</si>
  <si>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</si>
  <si>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</si>
  <si>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</si>
  <si>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</si>
  <si>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</si>
  <si>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</si>
  <si>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OPEX Category</t>
  </si>
  <si>
    <t>OPEX Subcategory</t>
  </si>
  <si>
    <t>Salaries</t>
  </si>
  <si>
    <t>Bonuses</t>
  </si>
  <si>
    <t>Utilities</t>
  </si>
  <si>
    <t>Internet &amp; Comunication</t>
  </si>
  <si>
    <t>IT Servise</t>
  </si>
  <si>
    <t>Insurance</t>
  </si>
  <si>
    <t>Advertising</t>
  </si>
  <si>
    <t>Marketing</t>
  </si>
  <si>
    <t>Transportation</t>
  </si>
  <si>
    <t>Business Trip</t>
  </si>
  <si>
    <t>Environmental Cost</t>
  </si>
  <si>
    <t>Write-offs</t>
  </si>
  <si>
    <t>Taxes &amp; Fees</t>
  </si>
  <si>
    <t>Health &amp; Safety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</si>
</sst>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9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</cellXfs>
  <cellStyles count="45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Обычный_финансовые расходы" xfId="44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GitHub\Executive_Financial_Dashboard\Data\&#1057;ash_Flow_Actu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h Flow Statement_Actual"/>
      <sheetName val="Balance Sheet_Actual"/>
      <sheetName val="Sales_Actual"/>
      <sheetName val="COGS_Actual"/>
      <sheetName val="Working Capital_Actual"/>
      <sheetName val="CapEx_Actual"/>
      <sheetName val="Debt Schedule_Actual"/>
      <sheetName val="DimDirection"/>
      <sheetName val="OPEX_Actual"/>
    </sheetNames>
    <sheetDataSet>
      <sheetData sheetId="0">
        <row r="3"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opLeftCell="A13" zoomScale="85" zoomScaleNormal="85" workbookViewId="0">
      <selection activeCell="F19" sqref="F19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ht="14.4" x14ac:dyDescent="0.2">
      <c r="A2" s="18" t="s">
        <v>17</v>
      </c>
      <c r="B2" s="80">
        <v>8000</v>
      </c>
      <c r="C2" s="80">
        <f>B33</f>
        <v>7024.2342646077959</v>
      </c>
      <c r="D2" s="80">
        <f t="shared" ref="D2:N2" si="0">C33</f>
        <v>23701.584791462923</v>
      </c>
      <c r="E2" s="80">
        <f t="shared" si="0"/>
        <v>60413.446894232242</v>
      </c>
      <c r="F2" s="80">
        <f t="shared" si="0"/>
        <v>96025.370160270657</v>
      </c>
      <c r="G2" s="80">
        <f t="shared" si="0"/>
        <v>47391.717559476587</v>
      </c>
      <c r="H2" s="80">
        <f t="shared" si="0"/>
        <v>44739.786835090999</v>
      </c>
      <c r="I2" s="80">
        <f t="shared" si="0"/>
        <v>56717.220066211004</v>
      </c>
      <c r="J2" s="80">
        <f t="shared" si="0"/>
        <v>72956.372642678994</v>
      </c>
      <c r="K2" s="80">
        <f t="shared" si="0"/>
        <v>89241.518571592838</v>
      </c>
      <c r="L2" s="80">
        <f t="shared" si="0"/>
        <v>113720.17602304829</v>
      </c>
      <c r="M2" s="80">
        <f t="shared" si="0"/>
        <v>139954.31670022113</v>
      </c>
      <c r="N2" s="80">
        <f t="shared" si="0"/>
        <v>179505.96247004022</v>
      </c>
      <c r="O2" s="55">
        <v>0</v>
      </c>
      <c r="P2" s="55">
        <v>0</v>
      </c>
      <c r="Q2" s="55">
        <v>0</v>
      </c>
      <c r="R2" s="55">
        <v>0</v>
      </c>
      <c r="S2" s="55">
        <v>0</v>
      </c>
      <c r="T2" s="55">
        <v>0</v>
      </c>
      <c r="U2" s="55">
        <v>0</v>
      </c>
      <c r="V2" s="55">
        <v>0</v>
      </c>
      <c r="W2" s="55">
        <v>0</v>
      </c>
      <c r="X2" s="55">
        <v>0</v>
      </c>
      <c r="Y2" s="55">
        <v>0</v>
      </c>
      <c r="Z2" s="55">
        <v>0</v>
      </c>
    </row>
    <row r="3" spans="1:26" s="2" customFormat="1" ht="14.4" x14ac:dyDescent="0.2">
      <c r="A3" s="19" t="s">
        <v>18</v>
      </c>
      <c r="B3" s="29">
        <f>Sales_Budget!B36</f>
        <v>128600.04974020574</v>
      </c>
      <c r="C3" s="29">
        <f>Sales_Budget!C36</f>
        <v>244470</v>
      </c>
      <c r="D3" s="29">
        <f>Sales_Budget!D36</f>
        <v>300660</v>
      </c>
      <c r="E3" s="29">
        <f>Sales_Budget!E36</f>
        <v>292050</v>
      </c>
      <c r="F3" s="29">
        <f>Sales_Budget!F36</f>
        <v>246890</v>
      </c>
      <c r="G3" s="29">
        <f>Sales_Budget!G36</f>
        <v>324700</v>
      </c>
      <c r="H3" s="29">
        <f>Sales_Budget!H36</f>
        <v>319750</v>
      </c>
      <c r="I3" s="29">
        <f>Sales_Budget!I36</f>
        <v>309380</v>
      </c>
      <c r="J3" s="29">
        <f>Sales_Budget!J36</f>
        <v>208750</v>
      </c>
      <c r="K3" s="29">
        <f>Sales_Budget!K36</f>
        <v>357830</v>
      </c>
      <c r="L3" s="29">
        <f>Sales_Budget!L36</f>
        <v>430940</v>
      </c>
      <c r="M3" s="29">
        <f>Sales_Budget!M36</f>
        <v>325510</v>
      </c>
      <c r="N3" s="29">
        <f>Sales_Budget!N36</f>
        <v>325810</v>
      </c>
      <c r="O3" s="56">
        <f>Sales_Budget!O36</f>
        <v>0</v>
      </c>
      <c r="P3" s="56">
        <f>Sales_Budget!P36</f>
        <v>0</v>
      </c>
      <c r="Q3" s="56">
        <f>Sales_Budget!Q36</f>
        <v>0</v>
      </c>
      <c r="R3" s="56">
        <f>Sales_Budget!R36</f>
        <v>0</v>
      </c>
      <c r="S3" s="56">
        <f>Sales_Budget!S36</f>
        <v>0</v>
      </c>
      <c r="T3" s="56">
        <f>Sales_Budget!T36</f>
        <v>0</v>
      </c>
      <c r="U3" s="56">
        <f>Sales_Budget!U36</f>
        <v>0</v>
      </c>
      <c r="V3" s="56">
        <f>Sales_Budget!V36</f>
        <v>0</v>
      </c>
      <c r="W3" s="56">
        <f>Sales_Budget!W36</f>
        <v>0</v>
      </c>
      <c r="X3" s="56">
        <f>Sales_Budget!X36</f>
        <v>0</v>
      </c>
      <c r="Y3" s="56">
        <f>Sales_Budget!Y36</f>
        <v>0</v>
      </c>
      <c r="Z3" s="56">
        <f>Sales_Budget!Z36</f>
        <v>0</v>
      </c>
    </row>
    <row r="4" spans="1:26" ht="14.4" x14ac:dyDescent="0.2">
      <c r="A4" s="17" t="s">
        <v>19</v>
      </c>
      <c r="B4" s="28">
        <f>COGS_Budget!B36</f>
        <v>89791</v>
      </c>
      <c r="C4" s="28">
        <f>COGS_Budget!C36</f>
        <v>169065</v>
      </c>
      <c r="D4" s="28">
        <f>COGS_Budget!D36</f>
        <v>207024.2</v>
      </c>
      <c r="E4" s="28">
        <f>COGS_Budget!E36</f>
        <v>199015</v>
      </c>
      <c r="F4" s="28">
        <f>COGS_Budget!F36</f>
        <v>163005</v>
      </c>
      <c r="G4" s="28">
        <f>COGS_Budget!G36</f>
        <v>212520</v>
      </c>
      <c r="H4" s="28">
        <f>COGS_Budget!H36</f>
        <v>212230</v>
      </c>
      <c r="I4" s="28">
        <f>COGS_Budget!I36</f>
        <v>193744</v>
      </c>
      <c r="J4" s="28">
        <f>COGS_Budget!J36</f>
        <v>130211</v>
      </c>
      <c r="K4" s="28">
        <f>COGS_Budget!K36</f>
        <v>212044</v>
      </c>
      <c r="L4" s="28">
        <f>COGS_Budget!L36</f>
        <v>298372</v>
      </c>
      <c r="M4" s="28">
        <f>COGS_Budget!M36</f>
        <v>221012</v>
      </c>
      <c r="N4" s="28">
        <f>COGS_Budget!N36</f>
        <v>186246</v>
      </c>
      <c r="O4" s="57">
        <f>COGS_Budget!O36</f>
        <v>0</v>
      </c>
      <c r="P4" s="57">
        <f>COGS_Budget!P36</f>
        <v>0</v>
      </c>
      <c r="Q4" s="57">
        <f>COGS_Budget!Q36</f>
        <v>0</v>
      </c>
      <c r="R4" s="57">
        <f>COGS_Budget!R36</f>
        <v>0</v>
      </c>
      <c r="S4" s="57">
        <f>COGS_Budget!S36</f>
        <v>0</v>
      </c>
      <c r="T4" s="57">
        <f>COGS_Budget!T36</f>
        <v>0</v>
      </c>
      <c r="U4" s="57">
        <f>COGS_Budget!U36</f>
        <v>0</v>
      </c>
      <c r="V4" s="57">
        <f>COGS_Budget!V36</f>
        <v>0</v>
      </c>
      <c r="W4" s="57">
        <f>COGS_Budget!W36</f>
        <v>0</v>
      </c>
      <c r="X4" s="57">
        <f>COGS_Budget!X36</f>
        <v>0</v>
      </c>
      <c r="Y4" s="57">
        <f>COGS_Budget!Y36</f>
        <v>0</v>
      </c>
      <c r="Z4" s="57">
        <f>COGS_Budget!Z36</f>
        <v>0</v>
      </c>
    </row>
    <row r="5" spans="1:26" ht="16.45" customHeight="1" x14ac:dyDescent="0.2">
      <c r="A5" s="19" t="s">
        <v>20</v>
      </c>
      <c r="B5" s="29">
        <f t="shared" ref="B5:N5" si="1">B3-B4</f>
        <v>38809.049740205737</v>
      </c>
      <c r="C5" s="29">
        <f t="shared" si="1"/>
        <v>75405</v>
      </c>
      <c r="D5" s="29">
        <f t="shared" si="1"/>
        <v>93635.799999999988</v>
      </c>
      <c r="E5" s="29">
        <f t="shared" si="1"/>
        <v>93035</v>
      </c>
      <c r="F5" s="29">
        <f t="shared" si="1"/>
        <v>83885</v>
      </c>
      <c r="G5" s="29">
        <f t="shared" si="1"/>
        <v>112180</v>
      </c>
      <c r="H5" s="29">
        <f t="shared" si="1"/>
        <v>107520</v>
      </c>
      <c r="I5" s="29">
        <f t="shared" si="1"/>
        <v>115636</v>
      </c>
      <c r="J5" s="29">
        <f t="shared" si="1"/>
        <v>78539</v>
      </c>
      <c r="K5" s="29">
        <f t="shared" si="1"/>
        <v>145786</v>
      </c>
      <c r="L5" s="29">
        <f t="shared" si="1"/>
        <v>132568</v>
      </c>
      <c r="M5" s="29">
        <f t="shared" si="1"/>
        <v>104498</v>
      </c>
      <c r="N5" s="29">
        <f t="shared" si="1"/>
        <v>139564</v>
      </c>
      <c r="O5" s="56">
        <f t="shared" ref="O5" si="2">O3-O4</f>
        <v>0</v>
      </c>
      <c r="P5" s="56">
        <f t="shared" ref="P5:Z5" si="3">P3-P4</f>
        <v>0</v>
      </c>
      <c r="Q5" s="56">
        <f t="shared" si="3"/>
        <v>0</v>
      </c>
      <c r="R5" s="56">
        <f t="shared" si="3"/>
        <v>0</v>
      </c>
      <c r="S5" s="56">
        <f t="shared" si="3"/>
        <v>0</v>
      </c>
      <c r="T5" s="56">
        <f t="shared" si="3"/>
        <v>0</v>
      </c>
      <c r="U5" s="56">
        <f t="shared" si="3"/>
        <v>0</v>
      </c>
      <c r="V5" s="56">
        <f t="shared" si="3"/>
        <v>0</v>
      </c>
      <c r="W5" s="56">
        <f t="shared" si="3"/>
        <v>0</v>
      </c>
      <c r="X5" s="56">
        <f t="shared" si="3"/>
        <v>0</v>
      </c>
      <c r="Y5" s="56">
        <f t="shared" si="3"/>
        <v>0</v>
      </c>
      <c r="Z5" s="56">
        <f t="shared" si="3"/>
        <v>0</v>
      </c>
    </row>
    <row r="6" spans="1:26" ht="14.4" x14ac:dyDescent="0.2">
      <c r="A6" s="17" t="s">
        <v>21</v>
      </c>
      <c r="B6" s="28">
        <v>10000</v>
      </c>
      <c r="C6" s="28">
        <v>10000</v>
      </c>
      <c r="D6" s="28">
        <v>10000</v>
      </c>
      <c r="E6" s="28">
        <v>10000</v>
      </c>
      <c r="F6" s="28">
        <v>10000</v>
      </c>
      <c r="G6" s="28">
        <v>15000</v>
      </c>
      <c r="H6" s="28">
        <v>15000</v>
      </c>
      <c r="I6" s="28">
        <v>15000</v>
      </c>
      <c r="J6" s="28">
        <v>15000</v>
      </c>
      <c r="K6" s="28">
        <v>18000</v>
      </c>
      <c r="L6" s="28">
        <v>18000</v>
      </c>
      <c r="M6" s="28">
        <v>18000</v>
      </c>
      <c r="N6" s="28">
        <v>18000</v>
      </c>
      <c r="O6" s="44">
        <v>0</v>
      </c>
      <c r="P6" s="44">
        <v>0</v>
      </c>
      <c r="Q6" s="44">
        <v>0</v>
      </c>
      <c r="R6" s="44">
        <v>0</v>
      </c>
      <c r="S6" s="44">
        <v>0</v>
      </c>
      <c r="T6" s="44">
        <v>0</v>
      </c>
      <c r="U6" s="44">
        <v>0</v>
      </c>
      <c r="V6" s="44">
        <v>0</v>
      </c>
      <c r="W6" s="44">
        <v>0</v>
      </c>
      <c r="X6" s="44">
        <v>0</v>
      </c>
      <c r="Y6" s="44">
        <v>0</v>
      </c>
      <c r="Z6" s="44">
        <v>0</v>
      </c>
    </row>
    <row r="7" spans="1:26" ht="14.4" x14ac:dyDescent="0.2">
      <c r="A7" s="17" t="s">
        <v>22</v>
      </c>
      <c r="B7" s="28">
        <v>5244.12</v>
      </c>
      <c r="C7" s="28">
        <v>5244.12</v>
      </c>
      <c r="D7" s="28">
        <v>5244.12</v>
      </c>
      <c r="E7" s="28">
        <v>5244.12</v>
      </c>
      <c r="F7" s="28">
        <v>5244.12</v>
      </c>
      <c r="G7" s="28">
        <v>6924.12</v>
      </c>
      <c r="H7" s="28">
        <v>6924.12</v>
      </c>
      <c r="I7" s="28">
        <v>6924.12</v>
      </c>
      <c r="J7" s="28">
        <v>6924.12</v>
      </c>
      <c r="K7" s="28">
        <v>8094.12</v>
      </c>
      <c r="L7" s="28">
        <v>8694.6721975362689</v>
      </c>
      <c r="M7" s="28">
        <v>8994.6721975362707</v>
      </c>
      <c r="N7" s="28">
        <v>9694.6721975362707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ht="14.4" x14ac:dyDescent="0.2">
      <c r="A8" s="17" t="s">
        <v>23</v>
      </c>
      <c r="B8" s="28">
        <v>11574.400149220617</v>
      </c>
      <c r="C8" s="28">
        <v>21922.287496058001</v>
      </c>
      <c r="D8" s="28">
        <v>22154.108349416001</v>
      </c>
      <c r="E8" s="28">
        <v>18943.701752264002</v>
      </c>
      <c r="F8" s="28">
        <v>16837.417214879999</v>
      </c>
      <c r="G8" s="28">
        <v>26185.157345200001</v>
      </c>
      <c r="H8" s="28">
        <v>25276.290598799998</v>
      </c>
      <c r="I8" s="28">
        <v>20146.906013799999</v>
      </c>
      <c r="J8" s="28">
        <v>10927.390675085553</v>
      </c>
      <c r="K8" s="28">
        <v>29396.1415488536</v>
      </c>
      <c r="L8" s="28">
        <v>27733.603902001312</v>
      </c>
      <c r="M8" s="28">
        <v>21275.527714777978</v>
      </c>
      <c r="N8" s="28">
        <v>18191.177515200001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ht="14.4" x14ac:dyDescent="0.2">
      <c r="A9" s="17" t="s">
        <v>24</v>
      </c>
      <c r="B9" s="28">
        <v>10000</v>
      </c>
      <c r="C9" s="28">
        <v>10000</v>
      </c>
      <c r="D9" s="28">
        <v>10000</v>
      </c>
      <c r="E9" s="28">
        <v>10000</v>
      </c>
      <c r="F9" s="28">
        <v>10000</v>
      </c>
      <c r="G9" s="28">
        <v>10000</v>
      </c>
      <c r="H9" s="28">
        <v>10100</v>
      </c>
      <c r="I9" s="28">
        <v>10100</v>
      </c>
      <c r="J9" s="28">
        <v>10200</v>
      </c>
      <c r="K9" s="28">
        <v>10200</v>
      </c>
      <c r="L9" s="28">
        <v>10200</v>
      </c>
      <c r="M9" s="28">
        <v>10300</v>
      </c>
      <c r="N9" s="28">
        <v>10300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ht="18" customHeight="1" x14ac:dyDescent="0.2">
      <c r="A10" s="17" t="s">
        <v>25</v>
      </c>
      <c r="B10" s="28">
        <v>15000</v>
      </c>
      <c r="C10" s="28">
        <v>15000</v>
      </c>
      <c r="D10" s="28">
        <v>15000</v>
      </c>
      <c r="E10" s="28">
        <v>15000</v>
      </c>
      <c r="F10" s="28">
        <v>15000</v>
      </c>
      <c r="G10" s="28">
        <v>15000</v>
      </c>
      <c r="H10" s="28">
        <v>15000</v>
      </c>
      <c r="I10" s="28">
        <v>15000</v>
      </c>
      <c r="J10" s="28">
        <v>15000</v>
      </c>
      <c r="K10" s="28">
        <v>15000</v>
      </c>
      <c r="L10" s="28">
        <v>15000</v>
      </c>
      <c r="M10" s="28">
        <v>15000</v>
      </c>
      <c r="N10" s="28">
        <v>15000</v>
      </c>
      <c r="O10" s="44">
        <v>0</v>
      </c>
      <c r="P10" s="44">
        <v>0</v>
      </c>
      <c r="Q10" s="44">
        <v>0</v>
      </c>
      <c r="R10" s="44">
        <v>0</v>
      </c>
      <c r="S10" s="44">
        <v>0</v>
      </c>
      <c r="T10" s="44">
        <v>0</v>
      </c>
      <c r="U10" s="44">
        <v>0</v>
      </c>
      <c r="V10" s="44">
        <v>0</v>
      </c>
      <c r="W10" s="44">
        <v>0</v>
      </c>
      <c r="X10" s="44">
        <v>0</v>
      </c>
      <c r="Y10" s="44">
        <v>0</v>
      </c>
      <c r="Z10" s="44">
        <v>0</v>
      </c>
    </row>
    <row r="11" spans="1:26" ht="23.5" customHeight="1" x14ac:dyDescent="0.2">
      <c r="A11" s="17" t="s">
        <v>36</v>
      </c>
      <c r="B11" s="80">
        <v>0</v>
      </c>
      <c r="C11" s="80">
        <v>0</v>
      </c>
      <c r="D11" s="80">
        <v>0</v>
      </c>
      <c r="E11" s="80">
        <v>0</v>
      </c>
      <c r="F11" s="80">
        <v>0</v>
      </c>
      <c r="G11" s="80">
        <v>0</v>
      </c>
      <c r="H11" s="80">
        <v>0</v>
      </c>
      <c r="I11" s="80">
        <v>0</v>
      </c>
      <c r="J11" s="80">
        <v>0</v>
      </c>
      <c r="K11" s="80">
        <v>0</v>
      </c>
      <c r="L11" s="80">
        <v>0</v>
      </c>
      <c r="M11" s="80">
        <v>0</v>
      </c>
      <c r="N11" s="80">
        <v>0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s="16" customFormat="1" ht="23.5" customHeight="1" x14ac:dyDescent="0.2">
      <c r="A12" s="17" t="s">
        <v>37</v>
      </c>
      <c r="B12" s="80">
        <v>0</v>
      </c>
      <c r="C12" s="80">
        <f>'Debt Schedule_Budget'!C7</f>
        <v>0</v>
      </c>
      <c r="D12" s="80">
        <f>'Debt Schedule_Budget'!D7</f>
        <v>0</v>
      </c>
      <c r="E12" s="80">
        <f>'Debt Schedule_Budget'!E7</f>
        <v>0</v>
      </c>
      <c r="F12" s="80">
        <f>'Debt Schedule_Budget'!F7</f>
        <v>0</v>
      </c>
      <c r="G12" s="80">
        <f>'Debt Schedule_Budget'!G7</f>
        <v>665</v>
      </c>
      <c r="H12" s="80">
        <f>'Debt Schedule_Budget'!H7</f>
        <v>2280</v>
      </c>
      <c r="I12" s="80">
        <f>'Debt Schedule_Budget'!I7</f>
        <v>6650</v>
      </c>
      <c r="J12" s="80">
        <f>'Debt Schedule_Budget'!J7</f>
        <v>9595</v>
      </c>
      <c r="K12" s="80">
        <f>'Debt Schedule_Budget'!K7</f>
        <v>4560</v>
      </c>
      <c r="L12" s="80">
        <f>'Debt Schedule_Budget'!L7</f>
        <v>0</v>
      </c>
      <c r="M12" s="80">
        <f>'Debt Schedule_Budget'!M7</f>
        <v>0</v>
      </c>
      <c r="N12" s="80">
        <f>'Debt Schedule_Budget'!N7</f>
        <v>0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s="4" customFormat="1" ht="14.4" x14ac:dyDescent="0.2">
      <c r="A13" s="17" t="s">
        <v>26</v>
      </c>
      <c r="B13" s="28">
        <v>500</v>
      </c>
      <c r="C13" s="28">
        <v>500</v>
      </c>
      <c r="D13" s="28">
        <v>500</v>
      </c>
      <c r="E13" s="28">
        <v>500</v>
      </c>
      <c r="F13" s="28">
        <v>500</v>
      </c>
      <c r="G13" s="28">
        <v>500</v>
      </c>
      <c r="H13" s="28">
        <v>500</v>
      </c>
      <c r="I13" s="28">
        <v>500</v>
      </c>
      <c r="J13" s="28">
        <v>500</v>
      </c>
      <c r="K13" s="28">
        <v>500</v>
      </c>
      <c r="L13" s="28">
        <v>500</v>
      </c>
      <c r="M13" s="28">
        <v>500</v>
      </c>
      <c r="N13" s="28">
        <v>500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s="16" customFormat="1" ht="14.4" x14ac:dyDescent="0.25">
      <c r="A14" s="17" t="s">
        <v>27</v>
      </c>
      <c r="B14" s="28">
        <v>0</v>
      </c>
      <c r="C14" s="88">
        <v>0</v>
      </c>
      <c r="D14" s="88">
        <v>0</v>
      </c>
      <c r="E14" s="88">
        <v>0</v>
      </c>
      <c r="F14" s="88">
        <v>0</v>
      </c>
      <c r="G14" s="88">
        <v>0</v>
      </c>
      <c r="H14" s="88">
        <v>0</v>
      </c>
      <c r="I14" s="88">
        <v>0</v>
      </c>
      <c r="J14" s="88">
        <v>0</v>
      </c>
      <c r="K14" s="88">
        <v>0</v>
      </c>
      <c r="L14" s="88">
        <v>0</v>
      </c>
      <c r="M14" s="88">
        <v>0</v>
      </c>
      <c r="N14" s="88">
        <v>0</v>
      </c>
      <c r="O14" s="43">
        <v>0</v>
      </c>
      <c r="P14" s="43">
        <v>0</v>
      </c>
      <c r="Q14" s="43">
        <v>0</v>
      </c>
      <c r="R14" s="43">
        <v>0</v>
      </c>
      <c r="S14" s="43">
        <v>0</v>
      </c>
      <c r="T14" s="43">
        <v>0</v>
      </c>
      <c r="U14" s="43">
        <v>0</v>
      </c>
      <c r="V14" s="43">
        <v>0</v>
      </c>
      <c r="W14" s="43">
        <v>0</v>
      </c>
      <c r="X14" s="43">
        <v>0</v>
      </c>
      <c r="Y14" s="43">
        <v>0</v>
      </c>
      <c r="Z14" s="43">
        <v>0</v>
      </c>
    </row>
    <row r="15" spans="1:26" ht="23.95" customHeight="1" x14ac:dyDescent="0.2">
      <c r="A15" s="19" t="s">
        <v>28</v>
      </c>
      <c r="B15" s="81">
        <f>B5+B6-B7-B8-B9-B10+B11-B12-B13+B14</f>
        <v>6490.5295909851193</v>
      </c>
      <c r="C15" s="81">
        <f t="shared" ref="C15:N15" si="4">C5+C6-C7-C8-C9-C10+C11-C12-C13+C14</f>
        <v>32738.592503942004</v>
      </c>
      <c r="D15" s="81">
        <f t="shared" si="4"/>
        <v>50737.571650583996</v>
      </c>
      <c r="E15" s="81">
        <f t="shared" si="4"/>
        <v>53347.17824773601</v>
      </c>
      <c r="F15" s="81">
        <f t="shared" si="4"/>
        <v>46303.462785120006</v>
      </c>
      <c r="G15" s="81">
        <f t="shared" si="4"/>
        <v>67905.722654800004</v>
      </c>
      <c r="H15" s="81">
        <f t="shared" si="4"/>
        <v>62439.589401200006</v>
      </c>
      <c r="I15" s="81">
        <f t="shared" si="4"/>
        <v>71314.973986199999</v>
      </c>
      <c r="J15" s="81">
        <f t="shared" si="4"/>
        <v>40392.489324914452</v>
      </c>
      <c r="K15" s="81">
        <f t="shared" si="4"/>
        <v>96035.738451146404</v>
      </c>
      <c r="L15" s="81">
        <f t="shared" si="4"/>
        <v>88439.723900462413</v>
      </c>
      <c r="M15" s="81">
        <f t="shared" si="4"/>
        <v>66427.800087685755</v>
      </c>
      <c r="N15" s="81">
        <f t="shared" si="4"/>
        <v>103878.15028726372</v>
      </c>
      <c r="O15" s="58">
        <f t="shared" ref="O15:Z15" si="5">O5+O6-O7-O8-O9+O11-O12-O13+O14</f>
        <v>0</v>
      </c>
      <c r="P15" s="58">
        <f t="shared" si="5"/>
        <v>0</v>
      </c>
      <c r="Q15" s="58">
        <f t="shared" si="5"/>
        <v>0</v>
      </c>
      <c r="R15" s="58">
        <f t="shared" si="5"/>
        <v>0</v>
      </c>
      <c r="S15" s="58">
        <f t="shared" si="5"/>
        <v>0</v>
      </c>
      <c r="T15" s="58">
        <f t="shared" si="5"/>
        <v>0</v>
      </c>
      <c r="U15" s="58">
        <f t="shared" si="5"/>
        <v>0</v>
      </c>
      <c r="V15" s="58">
        <f t="shared" si="5"/>
        <v>0</v>
      </c>
      <c r="W15" s="58">
        <f t="shared" si="5"/>
        <v>0</v>
      </c>
      <c r="X15" s="58">
        <f t="shared" si="5"/>
        <v>0</v>
      </c>
      <c r="Y15" s="58">
        <f t="shared" si="5"/>
        <v>0</v>
      </c>
      <c r="Z15" s="58">
        <f t="shared" si="5"/>
        <v>0</v>
      </c>
    </row>
    <row r="16" spans="1:26" ht="23.5" customHeight="1" x14ac:dyDescent="0.2">
      <c r="A16" s="17" t="s">
        <v>48</v>
      </c>
      <c r="B16" s="80">
        <f>B15*0.18</f>
        <v>1168.2953263773213</v>
      </c>
      <c r="C16" s="80">
        <f t="shared" ref="C16:N16" si="6">C15*0.18</f>
        <v>5892.9466507095603</v>
      </c>
      <c r="D16" s="80">
        <f t="shared" si="6"/>
        <v>9132.7628971051181</v>
      </c>
      <c r="E16" s="80">
        <f t="shared" si="6"/>
        <v>9602.4920845924808</v>
      </c>
      <c r="F16" s="80">
        <f t="shared" si="6"/>
        <v>8334.6233013216006</v>
      </c>
      <c r="G16" s="80">
        <f t="shared" si="6"/>
        <v>12223.030077863999</v>
      </c>
      <c r="H16" s="80">
        <f t="shared" si="6"/>
        <v>11239.126092216</v>
      </c>
      <c r="I16" s="80">
        <f t="shared" si="6"/>
        <v>12836.695317516</v>
      </c>
      <c r="J16" s="80">
        <f t="shared" si="6"/>
        <v>7270.6480784846008</v>
      </c>
      <c r="K16" s="80">
        <f t="shared" si="6"/>
        <v>17286.432921206353</v>
      </c>
      <c r="L16" s="80">
        <f t="shared" si="6"/>
        <v>15919.150302083233</v>
      </c>
      <c r="M16" s="80">
        <f t="shared" si="6"/>
        <v>11957.004015783436</v>
      </c>
      <c r="N16" s="80">
        <f t="shared" si="6"/>
        <v>18698.067051707469</v>
      </c>
      <c r="O16" s="44">
        <f t="shared" ref="O16" si="7">O15*0.18</f>
        <v>0</v>
      </c>
      <c r="P16" s="44">
        <f t="shared" ref="P16:Z16" si="8">P15*0.18</f>
        <v>0</v>
      </c>
      <c r="Q16" s="44">
        <f t="shared" si="8"/>
        <v>0</v>
      </c>
      <c r="R16" s="44">
        <f t="shared" si="8"/>
        <v>0</v>
      </c>
      <c r="S16" s="44">
        <f t="shared" si="8"/>
        <v>0</v>
      </c>
      <c r="T16" s="44">
        <f t="shared" si="8"/>
        <v>0</v>
      </c>
      <c r="U16" s="44">
        <f t="shared" si="8"/>
        <v>0</v>
      </c>
      <c r="V16" s="44">
        <f t="shared" si="8"/>
        <v>0</v>
      </c>
      <c r="W16" s="44">
        <f t="shared" si="8"/>
        <v>0</v>
      </c>
      <c r="X16" s="44">
        <f t="shared" si="8"/>
        <v>0</v>
      </c>
      <c r="Y16" s="44">
        <f t="shared" si="8"/>
        <v>0</v>
      </c>
      <c r="Z16" s="44">
        <f t="shared" si="8"/>
        <v>0</v>
      </c>
    </row>
    <row r="17" spans="1:26" ht="14.4" x14ac:dyDescent="0.2">
      <c r="A17" s="19" t="s">
        <v>29</v>
      </c>
      <c r="B17" s="81">
        <f>B15-B16</f>
        <v>5322.2342646077977</v>
      </c>
      <c r="C17" s="81">
        <f t="shared" ref="C17:N17" si="9">C15-C16</f>
        <v>26845.645853232443</v>
      </c>
      <c r="D17" s="81">
        <f t="shared" si="9"/>
        <v>41604.808753478879</v>
      </c>
      <c r="E17" s="81">
        <f t="shared" si="9"/>
        <v>43744.686163143531</v>
      </c>
      <c r="F17" s="81">
        <f t="shared" si="9"/>
        <v>37968.839483798409</v>
      </c>
      <c r="G17" s="81">
        <f t="shared" si="9"/>
        <v>55682.692576936002</v>
      </c>
      <c r="H17" s="81">
        <f t="shared" si="9"/>
        <v>51200.463308984006</v>
      </c>
      <c r="I17" s="81">
        <f t="shared" si="9"/>
        <v>58478.278668683997</v>
      </c>
      <c r="J17" s="81">
        <f t="shared" si="9"/>
        <v>33121.841246429853</v>
      </c>
      <c r="K17" s="81">
        <f t="shared" si="9"/>
        <v>78749.305529940058</v>
      </c>
      <c r="L17" s="81">
        <f t="shared" si="9"/>
        <v>72520.573598379182</v>
      </c>
      <c r="M17" s="81">
        <f t="shared" si="9"/>
        <v>54470.796071902318</v>
      </c>
      <c r="N17" s="81">
        <f t="shared" si="9"/>
        <v>85180.08323555626</v>
      </c>
      <c r="O17" s="58">
        <f t="shared" ref="O17" si="10">O15-O16</f>
        <v>0</v>
      </c>
      <c r="P17" s="58">
        <f t="shared" ref="P17:Z17" si="11">P15-P16</f>
        <v>0</v>
      </c>
      <c r="Q17" s="58">
        <f t="shared" si="11"/>
        <v>0</v>
      </c>
      <c r="R17" s="58">
        <f t="shared" si="11"/>
        <v>0</v>
      </c>
      <c r="S17" s="58">
        <f t="shared" si="11"/>
        <v>0</v>
      </c>
      <c r="T17" s="58">
        <f t="shared" si="11"/>
        <v>0</v>
      </c>
      <c r="U17" s="58">
        <f t="shared" si="11"/>
        <v>0</v>
      </c>
      <c r="V17" s="58">
        <f t="shared" si="11"/>
        <v>0</v>
      </c>
      <c r="W17" s="58">
        <f t="shared" si="11"/>
        <v>0</v>
      </c>
      <c r="X17" s="58">
        <f t="shared" si="11"/>
        <v>0</v>
      </c>
      <c r="Y17" s="58">
        <f t="shared" si="11"/>
        <v>0</v>
      </c>
      <c r="Z17" s="58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88">
        <f>'Working Capital_Budget'!C2-'Working Capital_Budget'!B2</f>
        <v>10000</v>
      </c>
      <c r="D18" s="88">
        <f>'Working Capital_Budget'!D2-'Working Capital_Budget'!C2</f>
        <v>0</v>
      </c>
      <c r="E18" s="88">
        <f>'Working Capital_Budget'!E2-'Working Capital_Budget'!D2</f>
        <v>0</v>
      </c>
      <c r="F18" s="88">
        <f>'Working Capital_Budget'!F2-'Working Capital_Budget'!E2</f>
        <v>0</v>
      </c>
      <c r="G18" s="88">
        <f>'Working Capital_Budget'!G2-'Working Capital_Budget'!F2</f>
        <v>20000</v>
      </c>
      <c r="H18" s="88">
        <f>'Working Capital_Budget'!H2-'Working Capital_Budget'!G2</f>
        <v>0</v>
      </c>
      <c r="I18" s="88">
        <f>'Working Capital_Budget'!I2-'Working Capital_Budget'!H2</f>
        <v>0</v>
      </c>
      <c r="J18" s="88">
        <f>'Working Capital_Budget'!J2-'Working Capital_Budget'!I2</f>
        <v>30000</v>
      </c>
      <c r="K18" s="88">
        <f>'Working Capital_Budget'!K2-'Working Capital_Budget'!J2</f>
        <v>0</v>
      </c>
      <c r="L18" s="88">
        <f>'Working Capital_Budget'!L2-'Working Capital_Budget'!K2</f>
        <v>0</v>
      </c>
      <c r="M18" s="88">
        <f>'Working Capital_Budget'!M2-'Working Capital_Budget'!L2</f>
        <v>0</v>
      </c>
      <c r="N18" s="88">
        <f>'Working Capital_Budget'!N2-'Working Capital_Budget'!M2</f>
        <v>40000</v>
      </c>
      <c r="O18" s="43">
        <v>0</v>
      </c>
      <c r="P18" s="43">
        <f>'Working Capital_Budget'!P2-'Working Capital_Budget'!O2</f>
        <v>0</v>
      </c>
      <c r="Q18" s="43">
        <f>'Working Capital_Budget'!Q2-'Working Capital_Budget'!P2</f>
        <v>0</v>
      </c>
      <c r="R18" s="43">
        <v>0</v>
      </c>
      <c r="S18" s="43">
        <f>'Working Capital_Budget'!S2-'Working Capital_Budget'!R2</f>
        <v>0</v>
      </c>
      <c r="T18" s="43">
        <f>'Working Capital_Budget'!T2-'Working Capital_Budget'!S2</f>
        <v>0</v>
      </c>
      <c r="U18" s="43">
        <f>'Working Capital_Budget'!U2-'Working Capital_Budget'!T2</f>
        <v>0</v>
      </c>
      <c r="V18" s="43">
        <v>0</v>
      </c>
      <c r="W18" s="43">
        <f>'Working Capital_Budget'!W2-'Working Capital_Budget'!V2</f>
        <v>0</v>
      </c>
      <c r="X18" s="43">
        <f>'Working Capital_Budget'!X2-'Working Capital_Budget'!W2</f>
        <v>0</v>
      </c>
      <c r="Y18" s="43">
        <f>'Working Capital_Budget'!Y2-'Working Capital_Budget'!X2</f>
        <v>0</v>
      </c>
      <c r="Z18" s="43">
        <v>0</v>
      </c>
    </row>
    <row r="19" spans="1:26" ht="14.4" x14ac:dyDescent="0.2">
      <c r="A19" s="17" t="s">
        <v>31</v>
      </c>
      <c r="B19" s="28">
        <v>5348</v>
      </c>
      <c r="C19" s="80">
        <f>'Working Capital_Budget'!C3-'Working Capital_Budget'!B3</f>
        <v>0</v>
      </c>
      <c r="D19" s="80">
        <f>'Working Capital_Budget'!D3-'Working Capital_Budget'!C3</f>
        <v>0</v>
      </c>
      <c r="E19" s="80">
        <f>'Working Capital_Budget'!E3-'Working Capital_Budget'!D3</f>
        <v>0</v>
      </c>
      <c r="F19" s="80">
        <f>'Working Capital_Budget'!F3-'Working Capital_Budget'!E3</f>
        <v>40000</v>
      </c>
      <c r="G19" s="80">
        <f>'Working Capital_Budget'!G3-'Working Capital_Budget'!F3</f>
        <v>0</v>
      </c>
      <c r="H19" s="80">
        <f>'Working Capital_Budget'!H3-'Working Capital_Budget'!G3</f>
        <v>0</v>
      </c>
      <c r="I19" s="80">
        <f>'Working Capital_Budget'!I3-'Working Capital_Budget'!H3</f>
        <v>0</v>
      </c>
      <c r="J19" s="80">
        <f>'Working Capital_Budget'!J3-'Working Capital_Budget'!I3</f>
        <v>-30000</v>
      </c>
      <c r="K19" s="80">
        <f>'Working Capital_Budget'!K3-'Working Capital_Budget'!J3</f>
        <v>0</v>
      </c>
      <c r="L19" s="80">
        <f>'Working Capital_Budget'!L3-'Working Capital_Budget'!K3</f>
        <v>30000</v>
      </c>
      <c r="M19" s="80">
        <f>'Working Capital_Budget'!M3-'Working Capital_Budget'!L3</f>
        <v>0</v>
      </c>
      <c r="N19" s="80">
        <f>'Working Capital_Budget'!N3-'Working Capital_Budget'!M3</f>
        <v>0</v>
      </c>
      <c r="O19" s="44">
        <v>0</v>
      </c>
      <c r="P19" s="44">
        <f>'Working Capital_Budget'!P3-'Working Capital_Budget'!O3</f>
        <v>0</v>
      </c>
      <c r="Q19" s="44">
        <f>'Working Capital_Budget'!Q3-'Working Capital_Budget'!P3</f>
        <v>0</v>
      </c>
      <c r="R19" s="44">
        <f>'Working Capital_Budget'!R3-'Working Capital_Budget'!Q3</f>
        <v>0</v>
      </c>
      <c r="S19" s="44">
        <f>'Working Capital_Budget'!S3-'Working Capital_Budget'!R3</f>
        <v>0</v>
      </c>
      <c r="T19" s="44">
        <f>'Working Capital_Budget'!T3-'Working Capital_Budget'!S3</f>
        <v>0</v>
      </c>
      <c r="U19" s="44">
        <f>'Working Capital_Budget'!U3-'Working Capital_Budget'!T3</f>
        <v>0</v>
      </c>
      <c r="V19" s="44">
        <f>'Working Capital_Budget'!V3-'Working Capital_Budget'!U3</f>
        <v>0</v>
      </c>
      <c r="W19" s="44">
        <f>'Working Capital_Budget'!W3-'Working Capital_Budget'!V3</f>
        <v>0</v>
      </c>
      <c r="X19" s="44">
        <f>'Working Capital_Budget'!X3-'Working Capital_Budget'!W3</f>
        <v>0</v>
      </c>
      <c r="Y19" s="44">
        <f>'Working Capital_Budget'!Y3-'Working Capital_Budget'!X3</f>
        <v>0</v>
      </c>
      <c r="Z19" s="44">
        <f>'Working Capital_Budget'!Z3-'Working Capital_Budget'!Y3</f>
        <v>0</v>
      </c>
    </row>
    <row r="20" spans="1:26" ht="14.4" x14ac:dyDescent="0.2">
      <c r="A20" s="17" t="s">
        <v>32</v>
      </c>
      <c r="B20" s="28">
        <v>13551</v>
      </c>
      <c r="C20" s="80">
        <f>'Working Capital_Budget'!C4-'Working Capital_Budget'!B4</f>
        <v>0</v>
      </c>
      <c r="D20" s="80">
        <f>'Working Capital_Budget'!D4-'Working Capital_Budget'!C4</f>
        <v>0</v>
      </c>
      <c r="E20" s="80">
        <f>'Working Capital_Budget'!E4-'Working Capital_Budget'!D4</f>
        <v>0</v>
      </c>
      <c r="F20" s="80">
        <f>'Working Capital_Budget'!F4-'Working Capital_Budget'!E4</f>
        <v>0</v>
      </c>
      <c r="G20" s="80">
        <f>'Working Capital_Budget'!G4-'Working Capital_Budget'!F4</f>
        <v>0</v>
      </c>
      <c r="H20" s="80">
        <f>'Working Capital_Budget'!H4-'Working Capital_Budget'!G4</f>
        <v>0</v>
      </c>
      <c r="I20" s="80">
        <f>'Working Capital_Budget'!I4-'Working Capital_Budget'!H4</f>
        <v>-30000</v>
      </c>
      <c r="J20" s="80">
        <f>'Working Capital_Budget'!J4-'Working Capital_Budget'!I4</f>
        <v>0</v>
      </c>
      <c r="K20" s="80">
        <f>'Working Capital_Budget'!K4-'Working Capital_Budget'!J4</f>
        <v>0</v>
      </c>
      <c r="L20" s="80">
        <f>'Working Capital_Budget'!L4-'Working Capital_Budget'!K4</f>
        <v>0</v>
      </c>
      <c r="M20" s="80">
        <f>'Working Capital_Budget'!M4-'Working Capital_Budget'!L4</f>
        <v>0</v>
      </c>
      <c r="N20" s="80">
        <f>'Working Capital_Budget'!N4-'Working Capital_Budget'!M4</f>
        <v>0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ht="14.4" x14ac:dyDescent="0.2">
      <c r="A21" s="19" t="s">
        <v>33</v>
      </c>
      <c r="B21" s="84">
        <f>B17+B10-B18-B19+B20-3520</f>
        <v>13024.234264607796</v>
      </c>
      <c r="C21" s="84">
        <f>C17+C10-C18-C19+C20-B16</f>
        <v>30677.350526855127</v>
      </c>
      <c r="D21" s="84">
        <f t="shared" ref="D21:N21" si="12">D17+D10-D18-D19+D20-C16</f>
        <v>50711.862102769315</v>
      </c>
      <c r="E21" s="84">
        <f t="shared" si="12"/>
        <v>49611.923266038415</v>
      </c>
      <c r="F21" s="84">
        <f t="shared" si="12"/>
        <v>3366.347399205928</v>
      </c>
      <c r="G21" s="84">
        <f t="shared" si="12"/>
        <v>42348.069275614413</v>
      </c>
      <c r="H21" s="84">
        <f t="shared" si="12"/>
        <v>53977.433231120005</v>
      </c>
      <c r="I21" s="84">
        <f t="shared" si="12"/>
        <v>32239.152576467997</v>
      </c>
      <c r="J21" s="84">
        <f t="shared" si="12"/>
        <v>35285.145928913851</v>
      </c>
      <c r="K21" s="84">
        <f t="shared" si="12"/>
        <v>86478.657451455452</v>
      </c>
      <c r="L21" s="84">
        <f t="shared" si="12"/>
        <v>40234.140677172829</v>
      </c>
      <c r="M21" s="84">
        <f t="shared" si="12"/>
        <v>53551.645769819093</v>
      </c>
      <c r="N21" s="84">
        <f t="shared" si="12"/>
        <v>48223.079219772822</v>
      </c>
      <c r="O21" s="84">
        <v>0</v>
      </c>
      <c r="P21" s="84">
        <f t="shared" ref="P21:Z21" si="13">-P18-P19+P17+P20</f>
        <v>0</v>
      </c>
      <c r="Q21" s="84">
        <f t="shared" si="13"/>
        <v>0</v>
      </c>
      <c r="R21" s="84">
        <f t="shared" si="13"/>
        <v>0</v>
      </c>
      <c r="S21" s="84">
        <f t="shared" si="13"/>
        <v>0</v>
      </c>
      <c r="T21" s="84">
        <f t="shared" si="13"/>
        <v>0</v>
      </c>
      <c r="U21" s="84">
        <f t="shared" si="13"/>
        <v>0</v>
      </c>
      <c r="V21" s="84">
        <f t="shared" si="13"/>
        <v>0</v>
      </c>
      <c r="W21" s="84">
        <f t="shared" si="13"/>
        <v>0</v>
      </c>
      <c r="X21" s="84">
        <f t="shared" si="13"/>
        <v>0</v>
      </c>
      <c r="Y21" s="84">
        <f t="shared" si="13"/>
        <v>0</v>
      </c>
      <c r="Z21" s="84">
        <f t="shared" si="13"/>
        <v>0</v>
      </c>
    </row>
    <row r="22" spans="1:26" ht="14.4" x14ac:dyDescent="0.2">
      <c r="A22" s="17" t="s">
        <v>34</v>
      </c>
      <c r="B22" s="28">
        <f>CapEx_Budget!B7</f>
        <v>14000</v>
      </c>
      <c r="C22" s="28">
        <f>CapEx_Budget!C7</f>
        <v>14000</v>
      </c>
      <c r="D22" s="28">
        <f>CapEx_Budget!D7</f>
        <v>14000</v>
      </c>
      <c r="E22" s="28">
        <f>CapEx_Budget!E7</f>
        <v>14000</v>
      </c>
      <c r="F22" s="28">
        <f>CapEx_Budget!F7</f>
        <v>52000</v>
      </c>
      <c r="G22" s="28">
        <f>CapEx_Budget!G7</f>
        <v>52000</v>
      </c>
      <c r="H22" s="28">
        <f>CapEx_Budget!H7</f>
        <v>52000</v>
      </c>
      <c r="I22" s="28">
        <f>CapEx_Budget!I7</f>
        <v>52000</v>
      </c>
      <c r="J22" s="28">
        <f>CapEx_Budget!J7</f>
        <v>14000</v>
      </c>
      <c r="K22" s="28">
        <f>CapEx_Budget!K7</f>
        <v>14000</v>
      </c>
      <c r="L22" s="28">
        <f>CapEx_Budget!L7</f>
        <v>14000</v>
      </c>
      <c r="M22" s="28">
        <f>CapEx_Budget!M7</f>
        <v>14000</v>
      </c>
      <c r="N22" s="28">
        <f>CapEx_Budget!N7</f>
        <v>14000</v>
      </c>
      <c r="O22" s="44">
        <v>0</v>
      </c>
      <c r="P22" s="44">
        <v>0</v>
      </c>
      <c r="Q22" s="44">
        <v>0</v>
      </c>
      <c r="R22" s="44">
        <v>0</v>
      </c>
      <c r="S22" s="44">
        <v>0</v>
      </c>
      <c r="T22" s="44">
        <v>0</v>
      </c>
      <c r="U22" s="44">
        <v>0</v>
      </c>
      <c r="V22" s="44">
        <v>0</v>
      </c>
      <c r="W22" s="44">
        <v>0</v>
      </c>
      <c r="X22" s="44">
        <v>0</v>
      </c>
      <c r="Y22" s="44">
        <v>0</v>
      </c>
      <c r="Z22" s="44">
        <v>0</v>
      </c>
    </row>
    <row r="23" spans="1:26" s="5" customFormat="1" ht="14.4" x14ac:dyDescent="0.2">
      <c r="A23" s="19" t="s">
        <v>35</v>
      </c>
      <c r="B23" s="81">
        <f>-(B22)</f>
        <v>-14000</v>
      </c>
      <c r="C23" s="81">
        <f t="shared" ref="C23:H23" si="14">-C22</f>
        <v>-14000</v>
      </c>
      <c r="D23" s="81">
        <f t="shared" si="14"/>
        <v>-14000</v>
      </c>
      <c r="E23" s="81">
        <f t="shared" si="14"/>
        <v>-14000</v>
      </c>
      <c r="F23" s="81">
        <f t="shared" si="14"/>
        <v>-52000</v>
      </c>
      <c r="G23" s="81">
        <f t="shared" si="14"/>
        <v>-52000</v>
      </c>
      <c r="H23" s="81">
        <f t="shared" si="14"/>
        <v>-52000</v>
      </c>
      <c r="I23" s="81">
        <f t="shared" ref="I23:O23" si="15">-I22</f>
        <v>-52000</v>
      </c>
      <c r="J23" s="81">
        <f t="shared" si="15"/>
        <v>-14000</v>
      </c>
      <c r="K23" s="81">
        <f t="shared" si="15"/>
        <v>-14000</v>
      </c>
      <c r="L23" s="81">
        <f t="shared" si="15"/>
        <v>-14000</v>
      </c>
      <c r="M23" s="81">
        <f t="shared" si="15"/>
        <v>-14000</v>
      </c>
      <c r="N23" s="81">
        <f t="shared" si="15"/>
        <v>-14000</v>
      </c>
      <c r="O23" s="60">
        <f t="shared" si="15"/>
        <v>0</v>
      </c>
      <c r="P23" s="60">
        <f t="shared" ref="P23:Z23" si="16">-P22</f>
        <v>0</v>
      </c>
      <c r="Q23" s="60">
        <f t="shared" si="16"/>
        <v>0</v>
      </c>
      <c r="R23" s="60">
        <f t="shared" si="16"/>
        <v>0</v>
      </c>
      <c r="S23" s="60">
        <f t="shared" si="16"/>
        <v>0</v>
      </c>
      <c r="T23" s="60">
        <f t="shared" si="16"/>
        <v>0</v>
      </c>
      <c r="U23" s="60">
        <f t="shared" si="16"/>
        <v>0</v>
      </c>
      <c r="V23" s="60">
        <f t="shared" si="16"/>
        <v>0</v>
      </c>
      <c r="W23" s="60">
        <f t="shared" si="16"/>
        <v>0</v>
      </c>
      <c r="X23" s="60">
        <f t="shared" si="16"/>
        <v>0</v>
      </c>
      <c r="Y23" s="60">
        <f t="shared" si="16"/>
        <v>0</v>
      </c>
      <c r="Z23" s="60">
        <f t="shared" si="16"/>
        <v>0</v>
      </c>
    </row>
    <row r="24" spans="1:26" s="6" customFormat="1" ht="14.4" x14ac:dyDescent="0.25">
      <c r="A24" s="17" t="s">
        <v>38</v>
      </c>
      <c r="B24" s="88">
        <v>0</v>
      </c>
      <c r="C24" s="88">
        <v>0</v>
      </c>
      <c r="D24" s="88">
        <v>0</v>
      </c>
      <c r="E24" s="88">
        <v>0</v>
      </c>
      <c r="F24" s="88">
        <v>0</v>
      </c>
      <c r="G24" s="88">
        <v>0</v>
      </c>
      <c r="H24" s="88">
        <v>0</v>
      </c>
      <c r="I24" s="88">
        <v>0</v>
      </c>
      <c r="J24" s="88">
        <v>0</v>
      </c>
      <c r="K24" s="88">
        <v>0</v>
      </c>
      <c r="L24" s="88">
        <v>0</v>
      </c>
      <c r="M24" s="88">
        <v>0</v>
      </c>
      <c r="N24" s="88">
        <v>0</v>
      </c>
      <c r="O24" s="88">
        <v>0</v>
      </c>
      <c r="P24" s="88">
        <v>0</v>
      </c>
      <c r="Q24" s="88">
        <v>0</v>
      </c>
      <c r="R24" s="88">
        <v>0</v>
      </c>
      <c r="S24" s="88">
        <v>0</v>
      </c>
      <c r="T24" s="88">
        <v>0</v>
      </c>
      <c r="U24" s="88">
        <v>0</v>
      </c>
      <c r="V24" s="88">
        <v>0</v>
      </c>
      <c r="W24" s="88">
        <v>0</v>
      </c>
      <c r="X24" s="88">
        <v>0</v>
      </c>
      <c r="Y24" s="88">
        <v>0</v>
      </c>
      <c r="Z24" s="88">
        <v>0</v>
      </c>
    </row>
    <row r="25" spans="1:26" s="6" customFormat="1" ht="14.4" x14ac:dyDescent="0.25">
      <c r="A25" s="17" t="s">
        <v>39</v>
      </c>
      <c r="B25" s="88">
        <v>0</v>
      </c>
      <c r="C25" s="88">
        <v>0</v>
      </c>
      <c r="D25" s="88">
        <v>0</v>
      </c>
      <c r="E25" s="88">
        <v>0</v>
      </c>
      <c r="F25" s="88">
        <v>0</v>
      </c>
      <c r="G25" s="88">
        <v>0</v>
      </c>
      <c r="H25" s="88">
        <v>0</v>
      </c>
      <c r="I25" s="88">
        <v>0</v>
      </c>
      <c r="J25" s="88">
        <v>0</v>
      </c>
      <c r="K25" s="88">
        <v>0</v>
      </c>
      <c r="L25" s="88">
        <v>0</v>
      </c>
      <c r="M25" s="88">
        <v>0</v>
      </c>
      <c r="N25" s="88">
        <v>0</v>
      </c>
      <c r="O25" s="88">
        <v>0</v>
      </c>
      <c r="P25" s="88">
        <v>0</v>
      </c>
      <c r="Q25" s="88">
        <v>0</v>
      </c>
      <c r="R25" s="88">
        <v>0</v>
      </c>
      <c r="S25" s="88">
        <v>0</v>
      </c>
      <c r="T25" s="88">
        <v>0</v>
      </c>
      <c r="U25" s="88">
        <v>0</v>
      </c>
      <c r="V25" s="88">
        <v>0</v>
      </c>
      <c r="W25" s="88">
        <v>0</v>
      </c>
      <c r="X25" s="88">
        <v>0</v>
      </c>
      <c r="Y25" s="88">
        <v>0</v>
      </c>
      <c r="Z25" s="88">
        <v>0</v>
      </c>
    </row>
    <row r="26" spans="1:26" s="6" customFormat="1" ht="14.4" x14ac:dyDescent="0.25">
      <c r="A26" s="17" t="s">
        <v>40</v>
      </c>
      <c r="B26" s="88">
        <v>0</v>
      </c>
      <c r="C26" s="88">
        <v>0</v>
      </c>
      <c r="D26" s="88">
        <v>0</v>
      </c>
      <c r="E26" s="88">
        <v>0</v>
      </c>
      <c r="F26" s="88">
        <v>0</v>
      </c>
      <c r="G26" s="88">
        <v>0</v>
      </c>
      <c r="H26" s="88">
        <v>0</v>
      </c>
      <c r="I26" s="88">
        <v>0</v>
      </c>
      <c r="J26" s="88">
        <v>0</v>
      </c>
      <c r="K26" s="88">
        <v>0</v>
      </c>
      <c r="L26" s="88">
        <v>0</v>
      </c>
      <c r="M26" s="88">
        <v>0</v>
      </c>
      <c r="N26" s="88">
        <v>0</v>
      </c>
      <c r="O26" s="88">
        <v>0</v>
      </c>
      <c r="P26" s="88">
        <v>0</v>
      </c>
      <c r="Q26" s="88">
        <v>0</v>
      </c>
      <c r="R26" s="88">
        <v>0</v>
      </c>
      <c r="S26" s="88">
        <v>0</v>
      </c>
      <c r="T26" s="88">
        <v>0</v>
      </c>
      <c r="U26" s="88">
        <v>0</v>
      </c>
      <c r="V26" s="88">
        <v>0</v>
      </c>
      <c r="W26" s="88">
        <v>0</v>
      </c>
      <c r="X26" s="88">
        <v>0</v>
      </c>
      <c r="Y26" s="88">
        <v>0</v>
      </c>
      <c r="Z26" s="88">
        <v>0</v>
      </c>
    </row>
    <row r="27" spans="1:26" s="6" customFormat="1" ht="14.4" x14ac:dyDescent="0.25">
      <c r="A27" s="17" t="s">
        <v>41</v>
      </c>
      <c r="B27" s="88">
        <v>0</v>
      </c>
      <c r="C27" s="88">
        <v>0</v>
      </c>
      <c r="D27" s="88">
        <v>0</v>
      </c>
      <c r="E27" s="88">
        <v>0</v>
      </c>
      <c r="F27" s="88">
        <v>0</v>
      </c>
      <c r="G27" s="88">
        <v>0</v>
      </c>
      <c r="H27" s="88">
        <v>0</v>
      </c>
      <c r="I27" s="88">
        <v>0</v>
      </c>
      <c r="J27" s="88">
        <v>0</v>
      </c>
      <c r="K27" s="88">
        <v>0</v>
      </c>
      <c r="L27" s="88">
        <v>0</v>
      </c>
      <c r="M27" s="88">
        <v>0</v>
      </c>
      <c r="N27" s="88">
        <v>0</v>
      </c>
      <c r="O27" s="43">
        <v>0</v>
      </c>
      <c r="P27" s="43">
        <v>0</v>
      </c>
      <c r="Q27" s="43">
        <v>0</v>
      </c>
      <c r="R27" s="43">
        <v>0</v>
      </c>
      <c r="S27" s="43">
        <v>0</v>
      </c>
      <c r="T27" s="43">
        <v>0</v>
      </c>
      <c r="U27" s="43">
        <v>0</v>
      </c>
      <c r="V27" s="43">
        <v>0</v>
      </c>
      <c r="W27" s="43">
        <v>0</v>
      </c>
      <c r="X27" s="43">
        <v>0</v>
      </c>
      <c r="Y27" s="43">
        <v>0</v>
      </c>
      <c r="Z27" s="43">
        <v>0</v>
      </c>
    </row>
    <row r="28" spans="1:26" s="6" customFormat="1" ht="14.4" x14ac:dyDescent="0.25">
      <c r="A28" s="17" t="s">
        <v>42</v>
      </c>
      <c r="B28" s="88">
        <f>'Debt Schedule_Budget'!B3</f>
        <v>0</v>
      </c>
      <c r="C28" s="88">
        <f>'Debt Schedule_Budget'!C3</f>
        <v>0</v>
      </c>
      <c r="D28" s="88">
        <f>'Debt Schedule_Budget'!D3</f>
        <v>0</v>
      </c>
      <c r="E28" s="88">
        <f>'Debt Schedule_Budget'!E3</f>
        <v>0</v>
      </c>
      <c r="F28" s="88">
        <f>'Debt Schedule_Budget'!F3</f>
        <v>0</v>
      </c>
      <c r="G28" s="88">
        <f>'Debt Schedule_Budget'!G3</f>
        <v>7000</v>
      </c>
      <c r="H28" s="88">
        <f>'Debt Schedule_Budget'!H3</f>
        <v>10000</v>
      </c>
      <c r="I28" s="88">
        <f>'Debt Schedule_Budget'!I3</f>
        <v>36000</v>
      </c>
      <c r="J28" s="88">
        <f>'Debt Schedule_Budget'!J3</f>
        <v>0</v>
      </c>
      <c r="K28" s="88">
        <f>'Debt Schedule_Budget'!K3</f>
        <v>0</v>
      </c>
      <c r="L28" s="88">
        <f>'Debt Schedule_Budget'!L3</f>
        <v>0</v>
      </c>
      <c r="M28" s="88">
        <f>'Debt Schedule_Budget'!M3</f>
        <v>0</v>
      </c>
      <c r="N28" s="88">
        <f>'Debt Schedule_Budget'!N3</f>
        <v>0</v>
      </c>
      <c r="O28" s="88">
        <f>'Debt Schedule_Budget'!O3</f>
        <v>0</v>
      </c>
      <c r="P28" s="88">
        <f>'Debt Schedule_Budget'!P3</f>
        <v>0</v>
      </c>
      <c r="Q28" s="88">
        <f>'Debt Schedule_Budget'!Q3</f>
        <v>0</v>
      </c>
      <c r="R28" s="88">
        <f>'Debt Schedule_Budget'!R3</f>
        <v>0</v>
      </c>
      <c r="S28" s="88">
        <f>'Debt Schedule_Budget'!S3</f>
        <v>0</v>
      </c>
      <c r="T28" s="88">
        <f>'Debt Schedule_Budget'!T3</f>
        <v>0</v>
      </c>
      <c r="U28" s="88">
        <f>'Debt Schedule_Budget'!U3</f>
        <v>0</v>
      </c>
      <c r="V28" s="88">
        <f>'Debt Schedule_Budget'!V3</f>
        <v>0</v>
      </c>
      <c r="W28" s="88">
        <f>'Debt Schedule_Budget'!W3</f>
        <v>0</v>
      </c>
      <c r="X28" s="88">
        <f>'Debt Schedule_Budget'!X3</f>
        <v>0</v>
      </c>
      <c r="Y28" s="88">
        <f>'Debt Schedule_Budget'!Y3</f>
        <v>0</v>
      </c>
      <c r="Z28" s="88">
        <f>'Debt Schedule_Budget'!Z3</f>
        <v>0</v>
      </c>
    </row>
    <row r="29" spans="1:26" s="6" customFormat="1" ht="14.4" x14ac:dyDescent="0.25">
      <c r="A29" s="17" t="s">
        <v>43</v>
      </c>
      <c r="B29" s="88">
        <f>'Debt Schedule_Budget'!B4</f>
        <v>0</v>
      </c>
      <c r="C29" s="88">
        <f>'Debt Schedule_Budget'!C4</f>
        <v>0</v>
      </c>
      <c r="D29" s="88">
        <f>'Debt Schedule_Budget'!D4</f>
        <v>0</v>
      </c>
      <c r="E29" s="88">
        <f>'Debt Schedule_Budget'!E4</f>
        <v>0</v>
      </c>
      <c r="F29" s="88">
        <f>'Debt Schedule_Budget'!F4</f>
        <v>0</v>
      </c>
      <c r="G29" s="88">
        <f>'Debt Schedule_Budget'!G4</f>
        <v>0</v>
      </c>
      <c r="H29" s="88">
        <f>'Debt Schedule_Budget'!H4</f>
        <v>0</v>
      </c>
      <c r="I29" s="88">
        <f>'Debt Schedule_Budget'!I4</f>
        <v>0</v>
      </c>
      <c r="J29" s="88">
        <f>'Debt Schedule_Budget'!J4</f>
        <v>5000</v>
      </c>
      <c r="K29" s="88">
        <f>'Debt Schedule_Budget'!K4</f>
        <v>48000</v>
      </c>
      <c r="L29" s="88">
        <f>'Debt Schedule_Budget'!L4</f>
        <v>0</v>
      </c>
      <c r="M29" s="88">
        <f>'Debt Schedule_Budget'!M4</f>
        <v>0</v>
      </c>
      <c r="N29" s="88">
        <f>'Debt Schedule_Budget'!N4</f>
        <v>0</v>
      </c>
      <c r="O29" s="88">
        <f>'Debt Schedule_Budget'!O4</f>
        <v>0</v>
      </c>
      <c r="P29" s="88">
        <f>'Debt Schedule_Budget'!P4</f>
        <v>0</v>
      </c>
      <c r="Q29" s="88">
        <f>'Debt Schedule_Budget'!Q4</f>
        <v>0</v>
      </c>
      <c r="R29" s="88">
        <f>'Debt Schedule_Budget'!R4</f>
        <v>0</v>
      </c>
      <c r="S29" s="88">
        <f>'Debt Schedule_Budget'!S4</f>
        <v>0</v>
      </c>
      <c r="T29" s="88">
        <f>'Debt Schedule_Budget'!T4</f>
        <v>0</v>
      </c>
      <c r="U29" s="88">
        <f>'Debt Schedule_Budget'!U4</f>
        <v>0</v>
      </c>
      <c r="V29" s="88">
        <f>'Debt Schedule_Budget'!V4</f>
        <v>0</v>
      </c>
      <c r="W29" s="88">
        <f>'Debt Schedule_Budget'!W4</f>
        <v>0</v>
      </c>
      <c r="X29" s="88">
        <f>'Debt Schedule_Budget'!X4</f>
        <v>0</v>
      </c>
      <c r="Y29" s="88">
        <f>'Debt Schedule_Budget'!Y4</f>
        <v>0</v>
      </c>
      <c r="Z29" s="88">
        <f>'Debt Schedule_Budget'!Z4</f>
        <v>0</v>
      </c>
    </row>
    <row r="30" spans="1:26" s="4" customFormat="1" ht="14.4" x14ac:dyDescent="0.25">
      <c r="A30" s="17" t="s">
        <v>2</v>
      </c>
      <c r="B30" s="88">
        <v>0</v>
      </c>
      <c r="C30" s="88">
        <v>0</v>
      </c>
      <c r="D30" s="88">
        <v>0</v>
      </c>
      <c r="E30" s="88">
        <v>0</v>
      </c>
      <c r="F30" s="88">
        <v>0</v>
      </c>
      <c r="G30" s="88">
        <v>0</v>
      </c>
      <c r="H30" s="88">
        <v>0</v>
      </c>
      <c r="I30" s="88">
        <v>0</v>
      </c>
      <c r="J30" s="88">
        <v>0</v>
      </c>
      <c r="K30" s="88">
        <v>0</v>
      </c>
      <c r="L30" s="88">
        <v>0</v>
      </c>
      <c r="M30" s="88">
        <v>0</v>
      </c>
      <c r="N30" s="88">
        <v>0</v>
      </c>
      <c r="O30" s="88">
        <v>0</v>
      </c>
      <c r="P30" s="88">
        <v>0</v>
      </c>
      <c r="Q30" s="88">
        <v>0</v>
      </c>
      <c r="R30" s="88">
        <v>0</v>
      </c>
      <c r="S30" s="88">
        <v>0</v>
      </c>
      <c r="T30" s="88">
        <v>0</v>
      </c>
      <c r="U30" s="88">
        <v>0</v>
      </c>
      <c r="V30" s="88">
        <v>0</v>
      </c>
      <c r="W30" s="88">
        <v>0</v>
      </c>
      <c r="X30" s="88">
        <v>0</v>
      </c>
      <c r="Y30" s="88">
        <v>0</v>
      </c>
      <c r="Z30" s="88">
        <v>0</v>
      </c>
    </row>
    <row r="31" spans="1:26" s="2" customFormat="1" ht="14.4" x14ac:dyDescent="0.2">
      <c r="A31" s="19" t="s">
        <v>44</v>
      </c>
      <c r="B31" s="84">
        <f t="shared" ref="B31:O31" si="17">B24+B26-B27+B30+B28-B29</f>
        <v>0</v>
      </c>
      <c r="C31" s="84">
        <f t="shared" si="17"/>
        <v>0</v>
      </c>
      <c r="D31" s="84">
        <f t="shared" si="17"/>
        <v>0</v>
      </c>
      <c r="E31" s="84">
        <f t="shared" si="17"/>
        <v>0</v>
      </c>
      <c r="F31" s="84">
        <f>F24+F26-F27+F30+F28-F29</f>
        <v>0</v>
      </c>
      <c r="G31" s="84">
        <f t="shared" si="17"/>
        <v>7000</v>
      </c>
      <c r="H31" s="84">
        <f>H24+H26-H27+H30+H28-H29-H30</f>
        <v>10000</v>
      </c>
      <c r="I31" s="87">
        <f>I24+I25-I27+I28-I29</f>
        <v>36000</v>
      </c>
      <c r="J31" s="87">
        <f>J24+J25-J27+J28-J29</f>
        <v>-5000</v>
      </c>
      <c r="K31" s="84">
        <f t="shared" si="17"/>
        <v>-48000</v>
      </c>
      <c r="L31" s="84">
        <f t="shared" si="17"/>
        <v>0</v>
      </c>
      <c r="M31" s="84">
        <f t="shared" si="17"/>
        <v>0</v>
      </c>
      <c r="N31" s="84">
        <f>N24+N26-N27+N30+N28-N29</f>
        <v>0</v>
      </c>
      <c r="O31" s="59">
        <f t="shared" si="17"/>
        <v>0</v>
      </c>
      <c r="P31" s="59">
        <f t="shared" ref="P31:Z31" si="18">P24+P26-P27+P30+P28-P29</f>
        <v>0</v>
      </c>
      <c r="Q31" s="59">
        <f t="shared" si="18"/>
        <v>0</v>
      </c>
      <c r="R31" s="59">
        <f t="shared" si="18"/>
        <v>0</v>
      </c>
      <c r="S31" s="59">
        <f t="shared" si="18"/>
        <v>0</v>
      </c>
      <c r="T31" s="59">
        <f t="shared" si="18"/>
        <v>0</v>
      </c>
      <c r="U31" s="59">
        <f t="shared" si="18"/>
        <v>0</v>
      </c>
      <c r="V31" s="59">
        <f t="shared" si="18"/>
        <v>0</v>
      </c>
      <c r="W31" s="59">
        <f t="shared" si="18"/>
        <v>0</v>
      </c>
      <c r="X31" s="59">
        <f t="shared" si="18"/>
        <v>0</v>
      </c>
      <c r="Y31" s="59">
        <f t="shared" si="18"/>
        <v>0</v>
      </c>
      <c r="Z31" s="59">
        <f t="shared" si="18"/>
        <v>0</v>
      </c>
    </row>
    <row r="32" spans="1:26" s="2" customFormat="1" ht="14.4" x14ac:dyDescent="0.2">
      <c r="A32" s="19" t="s">
        <v>45</v>
      </c>
      <c r="B32" s="84">
        <f>B21+B23+B31</f>
        <v>-975.76573539220408</v>
      </c>
      <c r="C32" s="84">
        <f t="shared" ref="C32:F32" si="19">C21+C23+C31</f>
        <v>16677.350526855127</v>
      </c>
      <c r="D32" s="84">
        <f t="shared" si="19"/>
        <v>36711.862102769315</v>
      </c>
      <c r="E32" s="84">
        <f t="shared" si="19"/>
        <v>35611.923266038415</v>
      </c>
      <c r="F32" s="84">
        <f t="shared" si="19"/>
        <v>-48633.65260079407</v>
      </c>
      <c r="G32" s="84">
        <f>G21+G23+G31</f>
        <v>-2651.9307243855874</v>
      </c>
      <c r="H32" s="84">
        <f t="shared" ref="H32:O32" si="20">H21+H23+H31</f>
        <v>11977.433231120005</v>
      </c>
      <c r="I32" s="84">
        <f t="shared" si="20"/>
        <v>16239.152576467997</v>
      </c>
      <c r="J32" s="84">
        <f t="shared" si="20"/>
        <v>16285.145928913851</v>
      </c>
      <c r="K32" s="84">
        <f t="shared" si="20"/>
        <v>24478.657451455452</v>
      </c>
      <c r="L32" s="84">
        <f t="shared" si="20"/>
        <v>26234.140677172829</v>
      </c>
      <c r="M32" s="84">
        <f t="shared" si="20"/>
        <v>39551.645769819093</v>
      </c>
      <c r="N32" s="84">
        <f t="shared" si="20"/>
        <v>34223.079219772822</v>
      </c>
      <c r="O32" s="59">
        <f t="shared" si="20"/>
        <v>0</v>
      </c>
      <c r="P32" s="59">
        <f t="shared" ref="P32:Z32" si="21">P21+P23+P31</f>
        <v>0</v>
      </c>
      <c r="Q32" s="59">
        <f t="shared" si="21"/>
        <v>0</v>
      </c>
      <c r="R32" s="59">
        <f t="shared" si="21"/>
        <v>0</v>
      </c>
      <c r="S32" s="59">
        <f t="shared" si="21"/>
        <v>0</v>
      </c>
      <c r="T32" s="59">
        <f t="shared" si="21"/>
        <v>0</v>
      </c>
      <c r="U32" s="59">
        <f t="shared" si="21"/>
        <v>0</v>
      </c>
      <c r="V32" s="59">
        <f t="shared" si="21"/>
        <v>0</v>
      </c>
      <c r="W32" s="59">
        <f t="shared" si="21"/>
        <v>0</v>
      </c>
      <c r="X32" s="59">
        <f t="shared" si="21"/>
        <v>0</v>
      </c>
      <c r="Y32" s="59">
        <f t="shared" si="21"/>
        <v>0</v>
      </c>
      <c r="Z32" s="59">
        <f t="shared" si="21"/>
        <v>0</v>
      </c>
    </row>
    <row r="33" spans="1:26" s="2" customFormat="1" ht="14.4" x14ac:dyDescent="0.2">
      <c r="A33" s="19" t="s">
        <v>46</v>
      </c>
      <c r="B33" s="87">
        <f t="shared" ref="B33:Z33" si="22">B32+B2</f>
        <v>7024.2342646077959</v>
      </c>
      <c r="C33" s="87">
        <f t="shared" si="22"/>
        <v>23701.584791462923</v>
      </c>
      <c r="D33" s="87">
        <f t="shared" si="22"/>
        <v>60413.446894232242</v>
      </c>
      <c r="E33" s="87">
        <f t="shared" si="22"/>
        <v>96025.370160270657</v>
      </c>
      <c r="F33" s="87">
        <f t="shared" si="22"/>
        <v>47391.717559476587</v>
      </c>
      <c r="G33" s="87">
        <f t="shared" si="22"/>
        <v>44739.786835090999</v>
      </c>
      <c r="H33" s="87">
        <f t="shared" si="22"/>
        <v>56717.220066211004</v>
      </c>
      <c r="I33" s="87">
        <f t="shared" si="22"/>
        <v>72956.372642678994</v>
      </c>
      <c r="J33" s="87">
        <f t="shared" si="22"/>
        <v>89241.518571592838</v>
      </c>
      <c r="K33" s="87">
        <f t="shared" si="22"/>
        <v>113720.17602304829</v>
      </c>
      <c r="L33" s="87">
        <f t="shared" si="22"/>
        <v>139954.31670022113</v>
      </c>
      <c r="M33" s="87">
        <f t="shared" si="22"/>
        <v>179505.96247004022</v>
      </c>
      <c r="N33" s="87">
        <f t="shared" si="22"/>
        <v>213729.04168981305</v>
      </c>
      <c r="O33" s="59">
        <f t="shared" si="22"/>
        <v>0</v>
      </c>
      <c r="P33" s="59">
        <f t="shared" si="22"/>
        <v>0</v>
      </c>
      <c r="Q33" s="59">
        <f t="shared" si="22"/>
        <v>0</v>
      </c>
      <c r="R33" s="59">
        <f t="shared" si="22"/>
        <v>0</v>
      </c>
      <c r="S33" s="59">
        <f t="shared" si="22"/>
        <v>0</v>
      </c>
      <c r="T33" s="59">
        <f t="shared" si="22"/>
        <v>0</v>
      </c>
      <c r="U33" s="59">
        <f t="shared" si="22"/>
        <v>0</v>
      </c>
      <c r="V33" s="59">
        <f t="shared" si="22"/>
        <v>0</v>
      </c>
      <c r="W33" s="59">
        <f t="shared" si="22"/>
        <v>0</v>
      </c>
      <c r="X33" s="59">
        <f t="shared" si="22"/>
        <v>0</v>
      </c>
      <c r="Y33" s="59">
        <f t="shared" si="22"/>
        <v>0</v>
      </c>
      <c r="Z33" s="59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>
      <selection activeCell="K26" sqref="K26"/>
    </sheetView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3">
      <c r="A2" s="27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spans="1:26" x14ac:dyDescent="0.3">
      <c r="A3" s="9" t="s">
        <v>11</v>
      </c>
      <c r="B3" s="24">
        <v>190</v>
      </c>
      <c r="C3" s="24">
        <v>500</v>
      </c>
      <c r="D3" s="24">
        <v>750</v>
      </c>
      <c r="E3" s="24">
        <v>700</v>
      </c>
      <c r="F3" s="24">
        <v>300</v>
      </c>
      <c r="G3" s="24">
        <v>850</v>
      </c>
      <c r="H3" s="24">
        <v>1000</v>
      </c>
      <c r="I3" s="24">
        <v>690</v>
      </c>
      <c r="J3" s="24">
        <v>300</v>
      </c>
      <c r="K3" s="24">
        <v>800</v>
      </c>
      <c r="L3" s="24">
        <v>950</v>
      </c>
      <c r="M3" s="24">
        <v>780</v>
      </c>
      <c r="N3" s="24">
        <v>780</v>
      </c>
      <c r="O3" s="46">
        <v>0</v>
      </c>
      <c r="P3" s="46">
        <v>0</v>
      </c>
      <c r="Q3" s="46">
        <v>0</v>
      </c>
      <c r="R3" s="46">
        <v>0</v>
      </c>
      <c r="S3" s="46">
        <v>0</v>
      </c>
      <c r="T3" s="46">
        <v>0</v>
      </c>
      <c r="U3" s="46">
        <v>0</v>
      </c>
      <c r="V3" s="46">
        <v>0</v>
      </c>
      <c r="W3" s="46">
        <v>0</v>
      </c>
      <c r="X3" s="46">
        <v>0</v>
      </c>
      <c r="Y3" s="46">
        <v>0</v>
      </c>
      <c r="Z3" s="46">
        <v>0</v>
      </c>
    </row>
    <row r="4" spans="1:26" x14ac:dyDescent="0.3">
      <c r="A4" s="9" t="s">
        <v>12</v>
      </c>
      <c r="B4" s="34">
        <v>70</v>
      </c>
      <c r="C4" s="34">
        <v>73</v>
      </c>
      <c r="D4" s="34">
        <v>73</v>
      </c>
      <c r="E4" s="34">
        <v>73</v>
      </c>
      <c r="F4" s="65">
        <v>74</v>
      </c>
      <c r="G4" s="34">
        <v>75</v>
      </c>
      <c r="H4" s="34">
        <v>75</v>
      </c>
      <c r="I4" s="34">
        <v>77</v>
      </c>
      <c r="J4" s="34">
        <v>77</v>
      </c>
      <c r="K4" s="34">
        <v>77</v>
      </c>
      <c r="L4" s="48">
        <v>82</v>
      </c>
      <c r="M4" s="48">
        <v>82</v>
      </c>
      <c r="N4" s="48">
        <v>82</v>
      </c>
      <c r="O4" s="46">
        <v>0</v>
      </c>
      <c r="P4" s="46">
        <v>0</v>
      </c>
      <c r="Q4" s="46">
        <v>0</v>
      </c>
      <c r="R4" s="46">
        <v>0</v>
      </c>
      <c r="S4" s="46">
        <v>0</v>
      </c>
      <c r="T4" s="46">
        <v>0</v>
      </c>
      <c r="U4" s="46">
        <v>0</v>
      </c>
      <c r="V4" s="46">
        <v>0</v>
      </c>
      <c r="W4" s="46">
        <v>0</v>
      </c>
      <c r="X4" s="46">
        <v>0</v>
      </c>
      <c r="Y4" s="46">
        <v>0</v>
      </c>
      <c r="Z4" s="46">
        <v>0</v>
      </c>
    </row>
    <row r="5" spans="1:26" x14ac:dyDescent="0.3">
      <c r="A5" s="9" t="s">
        <v>13</v>
      </c>
      <c r="B5" s="24">
        <f t="shared" ref="B5:N5" si="0">B3*B4</f>
        <v>13300</v>
      </c>
      <c r="C5" s="24">
        <f t="shared" si="0"/>
        <v>36500</v>
      </c>
      <c r="D5" s="24">
        <f t="shared" si="0"/>
        <v>54750</v>
      </c>
      <c r="E5" s="24">
        <f t="shared" si="0"/>
        <v>51100</v>
      </c>
      <c r="F5" s="24">
        <f t="shared" si="0"/>
        <v>22200</v>
      </c>
      <c r="G5" s="24">
        <f t="shared" si="0"/>
        <v>63750</v>
      </c>
      <c r="H5" s="24">
        <f t="shared" si="0"/>
        <v>75000</v>
      </c>
      <c r="I5" s="24">
        <f t="shared" si="0"/>
        <v>53130</v>
      </c>
      <c r="J5" s="24">
        <f t="shared" si="0"/>
        <v>23100</v>
      </c>
      <c r="K5" s="24">
        <f t="shared" si="0"/>
        <v>61600</v>
      </c>
      <c r="L5" s="24">
        <f t="shared" si="0"/>
        <v>77900</v>
      </c>
      <c r="M5" s="24">
        <f t="shared" si="0"/>
        <v>63960</v>
      </c>
      <c r="N5" s="24">
        <f t="shared" si="0"/>
        <v>63960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6">
        <v>0</v>
      </c>
      <c r="Z5" s="46">
        <v>0</v>
      </c>
    </row>
    <row r="6" spans="1:26" x14ac:dyDescent="0.3">
      <c r="A6" s="27" t="s">
        <v>3</v>
      </c>
      <c r="B6" s="66"/>
      <c r="C6" s="67"/>
      <c r="D6" s="67"/>
      <c r="E6" s="67"/>
      <c r="F6" s="67"/>
      <c r="G6" s="68"/>
      <c r="H6" s="68"/>
      <c r="I6" s="68"/>
      <c r="J6" s="68"/>
      <c r="K6" s="68"/>
      <c r="L6" s="68"/>
      <c r="M6" s="68"/>
      <c r="N6" s="69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 x14ac:dyDescent="0.3">
      <c r="A7" s="9" t="s">
        <v>11</v>
      </c>
      <c r="B7" s="24">
        <v>40</v>
      </c>
      <c r="C7" s="24">
        <v>200</v>
      </c>
      <c r="D7" s="24">
        <v>200</v>
      </c>
      <c r="E7" s="24">
        <v>150</v>
      </c>
      <c r="F7" s="24">
        <v>70</v>
      </c>
      <c r="G7" s="24">
        <v>130</v>
      </c>
      <c r="H7" s="24">
        <v>200</v>
      </c>
      <c r="I7" s="24">
        <v>110</v>
      </c>
      <c r="J7" s="24">
        <v>90</v>
      </c>
      <c r="K7" s="24">
        <v>150</v>
      </c>
      <c r="L7" s="24">
        <v>200</v>
      </c>
      <c r="M7" s="24">
        <v>110</v>
      </c>
      <c r="N7" s="24">
        <v>110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x14ac:dyDescent="0.3">
      <c r="A8" s="9" t="s">
        <v>12</v>
      </c>
      <c r="B8" s="34">
        <v>210</v>
      </c>
      <c r="C8" s="34">
        <v>210</v>
      </c>
      <c r="D8" s="34">
        <v>210</v>
      </c>
      <c r="E8" s="34">
        <v>230</v>
      </c>
      <c r="F8" s="65">
        <v>230</v>
      </c>
      <c r="G8" s="34">
        <v>230</v>
      </c>
      <c r="H8" s="34">
        <v>230</v>
      </c>
      <c r="I8" s="34">
        <v>240</v>
      </c>
      <c r="J8" s="34">
        <v>240</v>
      </c>
      <c r="K8" s="34">
        <v>240</v>
      </c>
      <c r="L8" s="48">
        <v>240</v>
      </c>
      <c r="M8" s="48">
        <v>240</v>
      </c>
      <c r="N8" s="48">
        <v>240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x14ac:dyDescent="0.3">
      <c r="A9" s="9" t="s">
        <v>13</v>
      </c>
      <c r="B9" s="24">
        <f>B7*B8</f>
        <v>8400</v>
      </c>
      <c r="C9" s="24">
        <f t="shared" ref="C9:N9" si="1">C7*C8</f>
        <v>42000</v>
      </c>
      <c r="D9" s="24">
        <f t="shared" si="1"/>
        <v>42000</v>
      </c>
      <c r="E9" s="24">
        <f t="shared" si="1"/>
        <v>34500</v>
      </c>
      <c r="F9" s="24">
        <f t="shared" si="1"/>
        <v>16100</v>
      </c>
      <c r="G9" s="24">
        <f t="shared" si="1"/>
        <v>29900</v>
      </c>
      <c r="H9" s="24">
        <f t="shared" si="1"/>
        <v>46000</v>
      </c>
      <c r="I9" s="24">
        <f t="shared" si="1"/>
        <v>26400</v>
      </c>
      <c r="J9" s="24">
        <f t="shared" si="1"/>
        <v>21600</v>
      </c>
      <c r="K9" s="24">
        <f t="shared" si="1"/>
        <v>36000</v>
      </c>
      <c r="L9" s="24">
        <f t="shared" si="1"/>
        <v>48000</v>
      </c>
      <c r="M9" s="24">
        <f t="shared" si="1"/>
        <v>26400</v>
      </c>
      <c r="N9" s="24">
        <f t="shared" si="1"/>
        <v>26400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x14ac:dyDescent="0.3">
      <c r="A10" s="27" t="s">
        <v>4</v>
      </c>
      <c r="B10" s="66"/>
      <c r="C10" s="67"/>
      <c r="D10" s="67"/>
      <c r="E10" s="67"/>
      <c r="F10" s="67"/>
      <c r="G10" s="68"/>
      <c r="H10" s="68"/>
      <c r="I10" s="68"/>
      <c r="J10" s="68"/>
      <c r="K10" s="68"/>
      <c r="L10" s="68"/>
      <c r="M10" s="68"/>
      <c r="N10" s="69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x14ac:dyDescent="0.3">
      <c r="A11" s="9" t="s">
        <v>11</v>
      </c>
      <c r="B11" s="24">
        <v>6000</v>
      </c>
      <c r="C11" s="24">
        <v>10000</v>
      </c>
      <c r="D11" s="24">
        <v>12000</v>
      </c>
      <c r="E11" s="24">
        <v>12000</v>
      </c>
      <c r="F11" s="24">
        <v>12000</v>
      </c>
      <c r="G11" s="24">
        <v>12000</v>
      </c>
      <c r="H11" s="24">
        <v>10000</v>
      </c>
      <c r="I11" s="24">
        <v>10000</v>
      </c>
      <c r="J11" s="24">
        <v>7000</v>
      </c>
      <c r="K11" s="24">
        <v>10000</v>
      </c>
      <c r="L11" s="24">
        <v>12000</v>
      </c>
      <c r="M11" s="24">
        <v>10000</v>
      </c>
      <c r="N11" s="24">
        <v>10000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x14ac:dyDescent="0.3">
      <c r="A12" s="9" t="s">
        <v>12</v>
      </c>
      <c r="B12" s="34">
        <v>14.5</v>
      </c>
      <c r="C12" s="34">
        <v>14.5</v>
      </c>
      <c r="D12" s="34">
        <v>14.5</v>
      </c>
      <c r="E12" s="34">
        <v>14.5</v>
      </c>
      <c r="F12" s="34">
        <v>14.5</v>
      </c>
      <c r="G12" s="34">
        <v>16</v>
      </c>
      <c r="H12" s="34">
        <v>16</v>
      </c>
      <c r="I12" s="34">
        <v>19</v>
      </c>
      <c r="J12" s="34">
        <v>19</v>
      </c>
      <c r="K12" s="34">
        <v>19</v>
      </c>
      <c r="L12" s="34">
        <v>19</v>
      </c>
      <c r="M12" s="34">
        <v>19</v>
      </c>
      <c r="N12" s="48">
        <v>19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x14ac:dyDescent="0.3">
      <c r="A13" s="9" t="s">
        <v>13</v>
      </c>
      <c r="B13" s="70">
        <f>B11*B12</f>
        <v>87000</v>
      </c>
      <c r="C13" s="70">
        <f t="shared" ref="C13:N13" si="2">C11*C12</f>
        <v>145000</v>
      </c>
      <c r="D13" s="70">
        <f t="shared" si="2"/>
        <v>174000</v>
      </c>
      <c r="E13" s="70">
        <f t="shared" si="2"/>
        <v>174000</v>
      </c>
      <c r="F13" s="70">
        <f t="shared" si="2"/>
        <v>174000</v>
      </c>
      <c r="G13" s="70">
        <f t="shared" si="2"/>
        <v>192000</v>
      </c>
      <c r="H13" s="70">
        <f t="shared" si="2"/>
        <v>160000</v>
      </c>
      <c r="I13" s="70">
        <f t="shared" si="2"/>
        <v>190000</v>
      </c>
      <c r="J13" s="70">
        <f t="shared" si="2"/>
        <v>133000</v>
      </c>
      <c r="K13" s="70">
        <f t="shared" si="2"/>
        <v>190000</v>
      </c>
      <c r="L13" s="70">
        <f t="shared" si="2"/>
        <v>228000</v>
      </c>
      <c r="M13" s="70">
        <f t="shared" si="2"/>
        <v>190000</v>
      </c>
      <c r="N13" s="70">
        <f t="shared" si="2"/>
        <v>190000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x14ac:dyDescent="0.3">
      <c r="A14" s="27" t="s">
        <v>5</v>
      </c>
      <c r="B14" s="66"/>
      <c r="C14" s="67"/>
      <c r="D14" s="67"/>
      <c r="E14" s="67"/>
      <c r="F14" s="67"/>
      <c r="G14" s="68"/>
      <c r="H14" s="68"/>
      <c r="I14" s="68"/>
      <c r="J14" s="68"/>
      <c r="K14" s="68"/>
      <c r="L14" s="68"/>
      <c r="M14" s="68"/>
      <c r="N14" s="69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250</v>
      </c>
      <c r="I15" s="24">
        <v>100</v>
      </c>
      <c r="J15" s="24">
        <v>150</v>
      </c>
      <c r="K15" s="24">
        <v>1000</v>
      </c>
      <c r="L15" s="24">
        <v>500</v>
      </c>
      <c r="M15" s="24">
        <v>150</v>
      </c>
      <c r="N15" s="24">
        <v>150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6">
        <v>0</v>
      </c>
      <c r="Z15" s="46">
        <v>0</v>
      </c>
    </row>
    <row r="16" spans="1:26" x14ac:dyDescent="0.3">
      <c r="A16" s="9" t="s">
        <v>12</v>
      </c>
      <c r="B16" s="34">
        <v>0</v>
      </c>
      <c r="C16" s="34">
        <v>0</v>
      </c>
      <c r="D16" s="34">
        <v>0</v>
      </c>
      <c r="E16" s="34">
        <v>0</v>
      </c>
      <c r="F16" s="34">
        <v>0</v>
      </c>
      <c r="G16" s="34">
        <v>0</v>
      </c>
      <c r="H16" s="34">
        <v>14</v>
      </c>
      <c r="I16" s="34">
        <v>14</v>
      </c>
      <c r="J16" s="34">
        <v>14</v>
      </c>
      <c r="K16" s="34">
        <v>14</v>
      </c>
      <c r="L16" s="34">
        <v>18</v>
      </c>
      <c r="M16" s="34">
        <v>20</v>
      </c>
      <c r="N16" s="34">
        <v>22</v>
      </c>
      <c r="O16" s="46">
        <v>0</v>
      </c>
      <c r="P16" s="46">
        <v>0</v>
      </c>
      <c r="Q16" s="46">
        <v>0</v>
      </c>
      <c r="R16" s="46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6">
        <v>0</v>
      </c>
      <c r="Y16" s="46">
        <v>0</v>
      </c>
      <c r="Z16" s="46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G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ref="H17:N17" si="4">H15*H16</f>
        <v>3500</v>
      </c>
      <c r="I17" s="24">
        <f t="shared" si="4"/>
        <v>1400</v>
      </c>
      <c r="J17" s="24">
        <f t="shared" si="4"/>
        <v>2100</v>
      </c>
      <c r="K17" s="24">
        <f t="shared" si="4"/>
        <v>14000</v>
      </c>
      <c r="L17" s="24">
        <f t="shared" si="4"/>
        <v>9000</v>
      </c>
      <c r="M17" s="24">
        <f t="shared" si="4"/>
        <v>3000</v>
      </c>
      <c r="N17" s="24">
        <f t="shared" si="4"/>
        <v>3300</v>
      </c>
      <c r="O17" s="46">
        <f t="shared" ref="O17:Z17" si="5">O15*O16</f>
        <v>0</v>
      </c>
      <c r="P17" s="46">
        <f t="shared" si="5"/>
        <v>0</v>
      </c>
      <c r="Q17" s="46">
        <f t="shared" si="5"/>
        <v>0</v>
      </c>
      <c r="R17" s="46">
        <f t="shared" si="5"/>
        <v>0</v>
      </c>
      <c r="S17" s="46">
        <f t="shared" si="5"/>
        <v>0</v>
      </c>
      <c r="T17" s="46">
        <f t="shared" si="5"/>
        <v>0</v>
      </c>
      <c r="U17" s="46">
        <f t="shared" si="5"/>
        <v>0</v>
      </c>
      <c r="V17" s="46">
        <f t="shared" si="5"/>
        <v>0</v>
      </c>
      <c r="W17" s="46">
        <f t="shared" si="5"/>
        <v>0</v>
      </c>
      <c r="X17" s="46">
        <f t="shared" si="5"/>
        <v>0</v>
      </c>
      <c r="Y17" s="46">
        <f t="shared" si="5"/>
        <v>0</v>
      </c>
      <c r="Z17" s="46">
        <f t="shared" si="5"/>
        <v>0</v>
      </c>
    </row>
    <row r="18" spans="1:26" x14ac:dyDescent="0.3">
      <c r="A18" s="27" t="s">
        <v>6</v>
      </c>
      <c r="B18" s="66"/>
      <c r="C18" s="67"/>
      <c r="D18" s="67"/>
      <c r="E18" s="67"/>
      <c r="F18" s="67"/>
      <c r="G18" s="68"/>
      <c r="H18" s="68"/>
      <c r="I18" s="68"/>
      <c r="J18" s="68"/>
      <c r="K18" s="68"/>
      <c r="L18" s="68"/>
      <c r="M18" s="68"/>
      <c r="N18" s="69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x14ac:dyDescent="0.3">
      <c r="A19" s="9" t="s">
        <v>14</v>
      </c>
      <c r="B19" s="24">
        <v>200</v>
      </c>
      <c r="C19" s="24">
        <v>150</v>
      </c>
      <c r="D19" s="24">
        <v>180</v>
      </c>
      <c r="E19" s="24">
        <v>250</v>
      </c>
      <c r="F19" s="24">
        <v>270</v>
      </c>
      <c r="G19" s="24">
        <v>270</v>
      </c>
      <c r="H19" s="24">
        <v>150</v>
      </c>
      <c r="I19" s="24">
        <v>250</v>
      </c>
      <c r="J19" s="24">
        <v>200</v>
      </c>
      <c r="K19" s="24">
        <v>200</v>
      </c>
      <c r="L19" s="24">
        <v>150</v>
      </c>
      <c r="M19" s="24">
        <v>80</v>
      </c>
      <c r="N19" s="24">
        <v>80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6">
        <v>0</v>
      </c>
      <c r="Z19" s="46">
        <v>0</v>
      </c>
    </row>
    <row r="20" spans="1:26" x14ac:dyDescent="0.3">
      <c r="A20" s="9" t="s">
        <v>12</v>
      </c>
      <c r="B20" s="34">
        <v>65</v>
      </c>
      <c r="C20" s="34">
        <v>65</v>
      </c>
      <c r="D20" s="34">
        <v>65</v>
      </c>
      <c r="E20" s="34">
        <v>65</v>
      </c>
      <c r="F20" s="34">
        <v>65</v>
      </c>
      <c r="G20" s="34">
        <v>65</v>
      </c>
      <c r="H20" s="34">
        <v>65</v>
      </c>
      <c r="I20" s="34">
        <v>65</v>
      </c>
      <c r="J20" s="34">
        <v>65</v>
      </c>
      <c r="K20" s="34">
        <v>65</v>
      </c>
      <c r="L20" s="48">
        <v>65</v>
      </c>
      <c r="M20" s="48">
        <v>65</v>
      </c>
      <c r="N20" s="48">
        <v>65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x14ac:dyDescent="0.3">
      <c r="A21" s="9" t="s">
        <v>13</v>
      </c>
      <c r="B21" s="24">
        <f>B19*B20</f>
        <v>13000</v>
      </c>
      <c r="C21" s="24">
        <f t="shared" ref="C21:N21" si="6">C19*C20</f>
        <v>9750</v>
      </c>
      <c r="D21" s="24">
        <f t="shared" si="6"/>
        <v>11700</v>
      </c>
      <c r="E21" s="24">
        <f t="shared" si="6"/>
        <v>16250</v>
      </c>
      <c r="F21" s="24">
        <f t="shared" si="6"/>
        <v>17550</v>
      </c>
      <c r="G21" s="24">
        <f t="shared" si="6"/>
        <v>17550</v>
      </c>
      <c r="H21" s="24">
        <f t="shared" si="6"/>
        <v>9750</v>
      </c>
      <c r="I21" s="24">
        <f t="shared" si="6"/>
        <v>16250</v>
      </c>
      <c r="J21" s="24">
        <f t="shared" si="6"/>
        <v>13000</v>
      </c>
      <c r="K21" s="24">
        <f t="shared" si="6"/>
        <v>13000</v>
      </c>
      <c r="L21" s="24">
        <f t="shared" si="6"/>
        <v>9750</v>
      </c>
      <c r="M21" s="24">
        <f t="shared" si="6"/>
        <v>5200</v>
      </c>
      <c r="N21" s="24">
        <f t="shared" si="6"/>
        <v>5200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6">
        <v>0</v>
      </c>
      <c r="Z21" s="46">
        <v>0</v>
      </c>
    </row>
    <row r="22" spans="1:26" x14ac:dyDescent="0.3">
      <c r="A22" s="27" t="s">
        <v>7</v>
      </c>
      <c r="B22" s="71"/>
      <c r="C22" s="67"/>
      <c r="D22" s="67"/>
      <c r="E22" s="67"/>
      <c r="F22" s="67"/>
      <c r="G22" s="68"/>
      <c r="H22" s="68"/>
      <c r="I22" s="68"/>
      <c r="J22" s="68"/>
      <c r="K22" s="68"/>
      <c r="L22" s="68"/>
      <c r="M22" s="68"/>
      <c r="N22" s="6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x14ac:dyDescent="0.3">
      <c r="A23" s="9" t="s">
        <v>14</v>
      </c>
      <c r="B23" s="24">
        <v>130</v>
      </c>
      <c r="C23" s="24">
        <v>190</v>
      </c>
      <c r="D23" s="24">
        <v>250</v>
      </c>
      <c r="E23" s="24">
        <v>250</v>
      </c>
      <c r="F23" s="24">
        <v>280</v>
      </c>
      <c r="G23" s="24">
        <v>200</v>
      </c>
      <c r="H23" s="24">
        <v>250</v>
      </c>
      <c r="I23" s="24">
        <v>150</v>
      </c>
      <c r="J23" s="24">
        <v>150</v>
      </c>
      <c r="K23" s="24">
        <v>210</v>
      </c>
      <c r="L23" s="24">
        <v>80</v>
      </c>
      <c r="M23" s="24">
        <v>150</v>
      </c>
      <c r="N23" s="24">
        <v>150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6">
        <v>0</v>
      </c>
      <c r="Z23" s="46">
        <v>0</v>
      </c>
    </row>
    <row r="24" spans="1:26" x14ac:dyDescent="0.3">
      <c r="A24" s="9" t="s">
        <v>12</v>
      </c>
      <c r="B24" s="35">
        <v>38</v>
      </c>
      <c r="C24" s="35">
        <v>38</v>
      </c>
      <c r="D24" s="35">
        <v>38</v>
      </c>
      <c r="E24" s="35">
        <v>38</v>
      </c>
      <c r="F24" s="35">
        <v>38</v>
      </c>
      <c r="G24" s="35">
        <v>38</v>
      </c>
      <c r="H24" s="35">
        <v>38</v>
      </c>
      <c r="I24" s="35">
        <v>38</v>
      </c>
      <c r="J24" s="35">
        <v>38</v>
      </c>
      <c r="K24" s="35">
        <v>38</v>
      </c>
      <c r="L24" s="48">
        <v>38</v>
      </c>
      <c r="M24" s="48">
        <v>38</v>
      </c>
      <c r="N24" s="48">
        <v>38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6">
        <v>0</v>
      </c>
      <c r="U24" s="46">
        <v>0</v>
      </c>
      <c r="V24" s="46">
        <v>0</v>
      </c>
      <c r="W24" s="46">
        <v>0</v>
      </c>
      <c r="X24" s="46">
        <v>0</v>
      </c>
      <c r="Y24" s="46">
        <v>0</v>
      </c>
      <c r="Z24" s="46">
        <v>0</v>
      </c>
    </row>
    <row r="25" spans="1:26" x14ac:dyDescent="0.3">
      <c r="A25" s="9" t="s">
        <v>13</v>
      </c>
      <c r="B25" s="24">
        <f>B23*B24</f>
        <v>4940</v>
      </c>
      <c r="C25" s="24">
        <f t="shared" ref="C25:N25" si="7">C23*C24</f>
        <v>7220</v>
      </c>
      <c r="D25" s="24">
        <f t="shared" si="7"/>
        <v>9500</v>
      </c>
      <c r="E25" s="24">
        <f t="shared" si="7"/>
        <v>9500</v>
      </c>
      <c r="F25" s="24">
        <f t="shared" si="7"/>
        <v>10640</v>
      </c>
      <c r="G25" s="24">
        <f t="shared" si="7"/>
        <v>7600</v>
      </c>
      <c r="H25" s="24">
        <f t="shared" si="7"/>
        <v>9500</v>
      </c>
      <c r="I25" s="24">
        <f t="shared" si="7"/>
        <v>5700</v>
      </c>
      <c r="J25" s="24">
        <f t="shared" si="7"/>
        <v>5700</v>
      </c>
      <c r="K25" s="24">
        <f t="shared" si="7"/>
        <v>7980</v>
      </c>
      <c r="L25" s="24">
        <f t="shared" si="7"/>
        <v>3040</v>
      </c>
      <c r="M25" s="24">
        <f t="shared" si="7"/>
        <v>5700</v>
      </c>
      <c r="N25" s="24">
        <f t="shared" si="7"/>
        <v>5700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</v>
      </c>
    </row>
    <row r="26" spans="1:26" x14ac:dyDescent="0.3">
      <c r="A26" s="27" t="s">
        <v>8</v>
      </c>
      <c r="B26" s="71"/>
      <c r="C26" s="71"/>
      <c r="D26" s="71"/>
      <c r="E26" s="71"/>
      <c r="F26" s="71"/>
      <c r="G26" s="68"/>
      <c r="H26" s="68"/>
      <c r="I26" s="68"/>
      <c r="J26" s="68"/>
      <c r="K26" s="68"/>
      <c r="L26" s="68"/>
      <c r="M26" s="68"/>
      <c r="N26" s="6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x14ac:dyDescent="0.3">
      <c r="A27" s="9" t="s">
        <v>11</v>
      </c>
      <c r="B27" s="70">
        <v>0</v>
      </c>
      <c r="C27" s="24">
        <v>0</v>
      </c>
      <c r="D27" s="24">
        <v>150</v>
      </c>
      <c r="E27" s="24">
        <v>90</v>
      </c>
      <c r="F27" s="24">
        <v>80</v>
      </c>
      <c r="G27" s="24">
        <v>330</v>
      </c>
      <c r="H27" s="24">
        <v>400</v>
      </c>
      <c r="I27" s="24">
        <v>500</v>
      </c>
      <c r="J27" s="24">
        <v>250</v>
      </c>
      <c r="K27" s="24">
        <v>650</v>
      </c>
      <c r="L27" s="24">
        <v>850</v>
      </c>
      <c r="M27" s="24">
        <v>730</v>
      </c>
      <c r="N27" s="24">
        <v>730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</row>
    <row r="28" spans="1:26" x14ac:dyDescent="0.3">
      <c r="A28" s="9" t="s">
        <v>12</v>
      </c>
      <c r="B28" s="42">
        <v>0</v>
      </c>
      <c r="C28" s="42">
        <v>0</v>
      </c>
      <c r="D28" s="42">
        <v>25</v>
      </c>
      <c r="E28" s="42">
        <v>30</v>
      </c>
      <c r="F28" s="42">
        <v>30</v>
      </c>
      <c r="G28" s="42">
        <v>30</v>
      </c>
      <c r="H28" s="42">
        <v>30</v>
      </c>
      <c r="I28" s="42">
        <v>25</v>
      </c>
      <c r="J28" s="42">
        <v>25</v>
      </c>
      <c r="K28" s="42">
        <v>25</v>
      </c>
      <c r="L28" s="48">
        <v>25</v>
      </c>
      <c r="M28" s="48">
        <v>25</v>
      </c>
      <c r="N28" s="48">
        <v>25</v>
      </c>
      <c r="O28" s="46">
        <v>0</v>
      </c>
      <c r="P28" s="46">
        <v>0</v>
      </c>
      <c r="Q28" s="46">
        <v>0</v>
      </c>
      <c r="R28" s="46">
        <v>0</v>
      </c>
      <c r="S28" s="46">
        <v>0</v>
      </c>
      <c r="T28" s="46">
        <v>0</v>
      </c>
      <c r="U28" s="46">
        <v>0</v>
      </c>
      <c r="V28" s="46">
        <v>0</v>
      </c>
      <c r="W28" s="46">
        <v>0</v>
      </c>
      <c r="X28" s="46">
        <v>0</v>
      </c>
      <c r="Y28" s="46">
        <v>0</v>
      </c>
      <c r="Z28" s="46">
        <v>0</v>
      </c>
    </row>
    <row r="29" spans="1:26" x14ac:dyDescent="0.3">
      <c r="A29" s="9" t="s">
        <v>13</v>
      </c>
      <c r="B29" s="70">
        <f>B27*B28</f>
        <v>0</v>
      </c>
      <c r="C29" s="70">
        <f t="shared" ref="C29:N29" si="8">C27*C28</f>
        <v>0</v>
      </c>
      <c r="D29" s="70">
        <f t="shared" si="8"/>
        <v>3750</v>
      </c>
      <c r="E29" s="70">
        <f t="shared" si="8"/>
        <v>2700</v>
      </c>
      <c r="F29" s="70">
        <f t="shared" si="8"/>
        <v>2400</v>
      </c>
      <c r="G29" s="70">
        <f t="shared" si="8"/>
        <v>9900</v>
      </c>
      <c r="H29" s="70">
        <f t="shared" si="8"/>
        <v>12000</v>
      </c>
      <c r="I29" s="70">
        <f t="shared" si="8"/>
        <v>12500</v>
      </c>
      <c r="J29" s="70">
        <f t="shared" si="8"/>
        <v>6250</v>
      </c>
      <c r="K29" s="70">
        <f t="shared" si="8"/>
        <v>16250</v>
      </c>
      <c r="L29" s="70">
        <f t="shared" si="8"/>
        <v>21250</v>
      </c>
      <c r="M29" s="70">
        <f t="shared" si="8"/>
        <v>18250</v>
      </c>
      <c r="N29" s="70">
        <f t="shared" si="8"/>
        <v>18250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</row>
    <row r="30" spans="1:26" x14ac:dyDescent="0.3">
      <c r="A30" s="27" t="s">
        <v>9</v>
      </c>
      <c r="B30" s="66"/>
      <c r="C30" s="67"/>
      <c r="D30" s="67"/>
      <c r="E30" s="67"/>
      <c r="F30" s="67"/>
      <c r="G30" s="68"/>
      <c r="H30" s="68"/>
      <c r="I30" s="68"/>
      <c r="J30" s="68"/>
      <c r="K30" s="72"/>
      <c r="L30" s="51"/>
      <c r="M30" s="51"/>
      <c r="N30" s="69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x14ac:dyDescent="0.3">
      <c r="A31" s="9" t="s">
        <v>14</v>
      </c>
      <c r="B31" s="24">
        <v>20</v>
      </c>
      <c r="C31" s="24">
        <v>0</v>
      </c>
      <c r="D31" s="24">
        <v>20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300</v>
      </c>
      <c r="L31" s="24">
        <v>600</v>
      </c>
      <c r="M31" s="24">
        <v>180</v>
      </c>
      <c r="N31" s="24">
        <v>180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48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50</v>
      </c>
      <c r="L32" s="20">
        <v>50</v>
      </c>
      <c r="M32" s="20">
        <v>50</v>
      </c>
      <c r="N32" s="20">
        <v>50</v>
      </c>
      <c r="O32" s="46">
        <v>0</v>
      </c>
      <c r="P32" s="46">
        <v>0</v>
      </c>
      <c r="Q32" s="46">
        <v>0</v>
      </c>
      <c r="R32" s="46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6">
        <v>0</v>
      </c>
      <c r="Y32" s="46">
        <v>0</v>
      </c>
      <c r="Z32" s="46">
        <v>0</v>
      </c>
    </row>
    <row r="33" spans="1:26" x14ac:dyDescent="0.3">
      <c r="A33" s="9" t="s">
        <v>13</v>
      </c>
      <c r="B33" s="24">
        <f>B31*B32</f>
        <v>960.04974020573638</v>
      </c>
      <c r="C33" s="24">
        <f t="shared" ref="C33:N33" si="9">C31*C32</f>
        <v>0</v>
      </c>
      <c r="D33" s="24">
        <f t="shared" si="9"/>
        <v>960</v>
      </c>
      <c r="E33" s="24">
        <f t="shared" si="9"/>
        <v>0</v>
      </c>
      <c r="F33" s="24">
        <f t="shared" si="9"/>
        <v>0</v>
      </c>
      <c r="G33" s="24">
        <f t="shared" si="9"/>
        <v>0</v>
      </c>
      <c r="H33" s="24">
        <f t="shared" si="9"/>
        <v>0</v>
      </c>
      <c r="I33" s="24">
        <f t="shared" si="9"/>
        <v>0</v>
      </c>
      <c r="J33" s="24">
        <f t="shared" si="9"/>
        <v>0</v>
      </c>
      <c r="K33" s="24">
        <f t="shared" si="9"/>
        <v>15000</v>
      </c>
      <c r="L33" s="24">
        <f t="shared" si="9"/>
        <v>30000</v>
      </c>
      <c r="M33" s="24">
        <f t="shared" si="9"/>
        <v>9000</v>
      </c>
      <c r="N33" s="24">
        <f t="shared" si="9"/>
        <v>9000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6">
        <v>0</v>
      </c>
      <c r="Z33" s="46">
        <v>0</v>
      </c>
    </row>
    <row r="34" spans="1:26" x14ac:dyDescent="0.3">
      <c r="A34" s="27" t="s">
        <v>2</v>
      </c>
      <c r="B34" s="63"/>
      <c r="C34" s="64"/>
      <c r="D34" s="64"/>
      <c r="E34" s="64"/>
      <c r="F34" s="64"/>
      <c r="G34" s="62"/>
      <c r="H34" s="62"/>
      <c r="I34" s="62"/>
      <c r="J34" s="62"/>
      <c r="K34" s="62"/>
      <c r="L34" s="62"/>
      <c r="M34" s="62"/>
      <c r="N34" s="61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x14ac:dyDescent="0.3">
      <c r="A35" s="9" t="s">
        <v>13</v>
      </c>
      <c r="B35" s="24">
        <v>1000</v>
      </c>
      <c r="C35" s="24">
        <v>4000</v>
      </c>
      <c r="D35" s="24">
        <v>4000</v>
      </c>
      <c r="E35" s="24">
        <v>4000</v>
      </c>
      <c r="F35" s="24">
        <v>4000</v>
      </c>
      <c r="G35" s="24">
        <v>4000</v>
      </c>
      <c r="H35" s="24">
        <v>4000</v>
      </c>
      <c r="I35" s="24">
        <v>4000</v>
      </c>
      <c r="J35" s="24">
        <v>4000</v>
      </c>
      <c r="K35" s="24">
        <v>4000</v>
      </c>
      <c r="L35" s="24">
        <v>4000</v>
      </c>
      <c r="M35" s="24">
        <v>4000</v>
      </c>
      <c r="N35" s="24">
        <v>4000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</row>
    <row r="36" spans="1:26" x14ac:dyDescent="0.3">
      <c r="A36" s="27" t="s">
        <v>10</v>
      </c>
      <c r="B36" s="33">
        <f t="shared" ref="B36:N36" si="10">B5+B9+B13+B17+B21+B25+B29+B33+B35</f>
        <v>128600.04974020574</v>
      </c>
      <c r="C36" s="33">
        <f t="shared" si="10"/>
        <v>244470</v>
      </c>
      <c r="D36" s="33">
        <f t="shared" si="10"/>
        <v>300660</v>
      </c>
      <c r="E36" s="33">
        <f t="shared" si="10"/>
        <v>292050</v>
      </c>
      <c r="F36" s="33">
        <f t="shared" si="10"/>
        <v>246890</v>
      </c>
      <c r="G36" s="33">
        <f t="shared" si="10"/>
        <v>324700</v>
      </c>
      <c r="H36" s="33">
        <f t="shared" si="10"/>
        <v>319750</v>
      </c>
      <c r="I36" s="33">
        <f t="shared" si="10"/>
        <v>309380</v>
      </c>
      <c r="J36" s="33">
        <f t="shared" si="10"/>
        <v>208750</v>
      </c>
      <c r="K36" s="33">
        <f t="shared" si="10"/>
        <v>357830</v>
      </c>
      <c r="L36" s="33">
        <f t="shared" si="10"/>
        <v>430940</v>
      </c>
      <c r="M36" s="33">
        <f t="shared" si="10"/>
        <v>325510</v>
      </c>
      <c r="N36" s="33">
        <f t="shared" si="10"/>
        <v>325810</v>
      </c>
      <c r="O36" s="37">
        <f t="shared" ref="O36:X36" si="11">O5+O9+O13+O17+O21+O25+O29+O33+O35</f>
        <v>0</v>
      </c>
      <c r="P36" s="37">
        <f t="shared" ref="P36:Q36" si="12">P5+P9+P13+P17+P21+P25+P29+P33+P35</f>
        <v>0</v>
      </c>
      <c r="Q36" s="37">
        <f t="shared" si="12"/>
        <v>0</v>
      </c>
      <c r="R36" s="37">
        <f t="shared" ref="R36" si="13">R5+R9+R13+R17+R21+R25+R29+R33+R35</f>
        <v>0</v>
      </c>
      <c r="S36" s="37">
        <f t="shared" si="11"/>
        <v>0</v>
      </c>
      <c r="T36" s="37">
        <f t="shared" si="11"/>
        <v>0</v>
      </c>
      <c r="U36" s="37">
        <f t="shared" si="11"/>
        <v>0</v>
      </c>
      <c r="V36" s="37">
        <f t="shared" si="11"/>
        <v>0</v>
      </c>
      <c r="W36" s="37">
        <f t="shared" si="11"/>
        <v>0</v>
      </c>
      <c r="X36" s="37">
        <f t="shared" si="11"/>
        <v>0</v>
      </c>
      <c r="Y36" s="37">
        <f>Y5+Y9+Y13+Y17+Y21+Y25+Y29+Y33+Y35</f>
        <v>0</v>
      </c>
      <c r="Z36" s="37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opLeftCell="A10" workbookViewId="0">
      <selection activeCell="A13" sqref="A13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3">
      <c r="A2" s="27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3">
      <c r="A3" s="9" t="s">
        <v>11</v>
      </c>
      <c r="B3" s="21">
        <f>Sales_Budget!B3</f>
        <v>190</v>
      </c>
      <c r="C3" s="21">
        <f>Sales_Budget!C3</f>
        <v>500</v>
      </c>
      <c r="D3" s="21">
        <f>Sales_Budget!D3</f>
        <v>750</v>
      </c>
      <c r="E3" s="21">
        <f>Sales_Budget!E3</f>
        <v>700</v>
      </c>
      <c r="F3" s="21">
        <f>Sales_Budget!F3</f>
        <v>300</v>
      </c>
      <c r="G3" s="21">
        <f>Sales_Budget!G3</f>
        <v>850</v>
      </c>
      <c r="H3" s="21">
        <f>Sales_Budget!H3</f>
        <v>1000</v>
      </c>
      <c r="I3" s="21">
        <f>Sales_Budget!I3</f>
        <v>690</v>
      </c>
      <c r="J3" s="21">
        <f>Sales_Budget!J3</f>
        <v>300</v>
      </c>
      <c r="K3" s="21">
        <f>Sales_Budget!K3</f>
        <v>800</v>
      </c>
      <c r="L3" s="21">
        <f>Sales_Budget!L3</f>
        <v>950</v>
      </c>
      <c r="M3" s="21">
        <f>Sales_Budget!M3</f>
        <v>780</v>
      </c>
      <c r="N3" s="21">
        <f>Sales_Budget!N3</f>
        <v>780</v>
      </c>
      <c r="O3" s="45">
        <v>0</v>
      </c>
      <c r="P3" s="45">
        <v>0</v>
      </c>
      <c r="Q3" s="45">
        <v>0</v>
      </c>
      <c r="R3" s="45">
        <v>0</v>
      </c>
      <c r="S3" s="45">
        <v>0</v>
      </c>
      <c r="T3" s="45">
        <v>0</v>
      </c>
      <c r="U3" s="45">
        <v>0</v>
      </c>
      <c r="V3" s="45">
        <v>0</v>
      </c>
      <c r="W3" s="45">
        <v>0</v>
      </c>
      <c r="X3" s="45">
        <v>0</v>
      </c>
      <c r="Y3" s="49">
        <v>0</v>
      </c>
      <c r="Z3" s="49">
        <v>0</v>
      </c>
    </row>
    <row r="4" spans="1:26" x14ac:dyDescent="0.3">
      <c r="A4" s="9" t="s">
        <v>15</v>
      </c>
      <c r="B4" s="20">
        <v>43.7</v>
      </c>
      <c r="C4" s="20">
        <v>43.7</v>
      </c>
      <c r="D4" s="20">
        <v>43.7</v>
      </c>
      <c r="E4" s="20">
        <v>43.7</v>
      </c>
      <c r="F4" s="20">
        <v>46</v>
      </c>
      <c r="G4" s="20">
        <v>52</v>
      </c>
      <c r="H4" s="20">
        <v>39.4</v>
      </c>
      <c r="I4" s="20">
        <v>46</v>
      </c>
      <c r="J4" s="20">
        <v>44.2</v>
      </c>
      <c r="K4" s="20">
        <v>50.1</v>
      </c>
      <c r="L4" s="20">
        <v>57</v>
      </c>
      <c r="M4" s="20">
        <v>51.4</v>
      </c>
      <c r="N4" s="20">
        <v>48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50">
        <v>0</v>
      </c>
      <c r="Z4" s="50">
        <v>0</v>
      </c>
    </row>
    <row r="5" spans="1:26" x14ac:dyDescent="0.3">
      <c r="A5" s="9" t="s">
        <v>16</v>
      </c>
      <c r="B5" s="21">
        <f>B3*B4</f>
        <v>8303</v>
      </c>
      <c r="C5" s="21">
        <f t="shared" ref="C5:N5" si="0">C3*C4</f>
        <v>21850</v>
      </c>
      <c r="D5" s="21">
        <f t="shared" si="0"/>
        <v>32775</v>
      </c>
      <c r="E5" s="21">
        <f t="shared" si="0"/>
        <v>30590.000000000004</v>
      </c>
      <c r="F5" s="21">
        <f t="shared" si="0"/>
        <v>13800</v>
      </c>
      <c r="G5" s="21">
        <f t="shared" si="0"/>
        <v>44200</v>
      </c>
      <c r="H5" s="21">
        <f t="shared" si="0"/>
        <v>39400</v>
      </c>
      <c r="I5" s="21">
        <f t="shared" si="0"/>
        <v>31740</v>
      </c>
      <c r="J5" s="21">
        <f t="shared" si="0"/>
        <v>13260</v>
      </c>
      <c r="K5" s="21">
        <f t="shared" si="0"/>
        <v>40080</v>
      </c>
      <c r="L5" s="21">
        <f t="shared" si="0"/>
        <v>54150</v>
      </c>
      <c r="M5" s="21">
        <f t="shared" si="0"/>
        <v>40092</v>
      </c>
      <c r="N5" s="21">
        <f t="shared" si="0"/>
        <v>37440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8">
        <v>0</v>
      </c>
      <c r="Z5" s="48">
        <v>0</v>
      </c>
    </row>
    <row r="6" spans="1:26" x14ac:dyDescent="0.3">
      <c r="A6" s="27" t="s">
        <v>3</v>
      </c>
      <c r="B6" s="32"/>
      <c r="C6" s="32"/>
      <c r="D6" s="32"/>
      <c r="E6" s="32"/>
      <c r="F6" s="75"/>
      <c r="G6" s="75"/>
      <c r="H6" s="75"/>
      <c r="I6" s="75"/>
      <c r="J6" s="75"/>
      <c r="K6" s="75"/>
      <c r="L6" s="75"/>
      <c r="M6" s="75"/>
      <c r="N6" s="75"/>
      <c r="O6" s="31"/>
      <c r="P6" s="31"/>
      <c r="Q6" s="31"/>
      <c r="R6" s="31"/>
      <c r="S6" s="31"/>
      <c r="T6" s="31"/>
      <c r="U6" s="31"/>
      <c r="V6" s="31"/>
      <c r="W6" s="31"/>
      <c r="X6" s="31"/>
      <c r="Y6" s="52"/>
      <c r="Z6" s="52"/>
    </row>
    <row r="7" spans="1:26" x14ac:dyDescent="0.3">
      <c r="A7" s="9" t="s">
        <v>11</v>
      </c>
      <c r="B7" s="21">
        <f>Sales_Budget!B7</f>
        <v>40</v>
      </c>
      <c r="C7" s="21">
        <f>Sales_Budget!C7</f>
        <v>200</v>
      </c>
      <c r="D7" s="21">
        <f>Sales_Budget!D7</f>
        <v>200</v>
      </c>
      <c r="E7" s="21">
        <f>Sales_Budget!E7</f>
        <v>150</v>
      </c>
      <c r="F7" s="21">
        <f>Sales_Budget!F7</f>
        <v>70</v>
      </c>
      <c r="G7" s="21">
        <f>Sales_Budget!G7</f>
        <v>130</v>
      </c>
      <c r="H7" s="21">
        <f>Sales_Budget!H7</f>
        <v>200</v>
      </c>
      <c r="I7" s="21">
        <f>Sales_Budget!I7</f>
        <v>110</v>
      </c>
      <c r="J7" s="21">
        <f>Sales_Budget!J7</f>
        <v>90</v>
      </c>
      <c r="K7" s="21">
        <f>Sales_Budget!K7</f>
        <v>150</v>
      </c>
      <c r="L7" s="21">
        <f>Sales_Budget!L7</f>
        <v>200</v>
      </c>
      <c r="M7" s="21">
        <f>Sales_Budget!M7</f>
        <v>110</v>
      </c>
      <c r="N7" s="21">
        <f>Sales_Budget!N7</f>
        <v>110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8">
        <v>0</v>
      </c>
      <c r="Z7" s="48">
        <v>0</v>
      </c>
    </row>
    <row r="8" spans="1:26" x14ac:dyDescent="0.3">
      <c r="A8" s="9" t="s">
        <v>15</v>
      </c>
      <c r="B8" s="20">
        <v>153</v>
      </c>
      <c r="C8" s="20">
        <v>170.5</v>
      </c>
      <c r="D8" s="20">
        <v>173.5</v>
      </c>
      <c r="E8" s="20">
        <v>175.5</v>
      </c>
      <c r="F8" s="20">
        <v>177</v>
      </c>
      <c r="G8" s="79">
        <v>177</v>
      </c>
      <c r="H8" s="79">
        <v>177</v>
      </c>
      <c r="I8" s="79">
        <v>185.4</v>
      </c>
      <c r="J8" s="79">
        <v>185.4</v>
      </c>
      <c r="K8" s="79">
        <v>185.4</v>
      </c>
      <c r="L8" s="79">
        <v>185.4</v>
      </c>
      <c r="M8" s="79">
        <v>185.4</v>
      </c>
      <c r="N8" s="48">
        <v>190.1</v>
      </c>
      <c r="O8" s="45">
        <v>0</v>
      </c>
      <c r="P8" s="45">
        <v>0</v>
      </c>
      <c r="Q8" s="45">
        <v>0</v>
      </c>
      <c r="R8" s="45">
        <v>0</v>
      </c>
      <c r="S8" s="45">
        <v>0</v>
      </c>
      <c r="T8" s="45">
        <v>0</v>
      </c>
      <c r="U8" s="45">
        <v>0</v>
      </c>
      <c r="V8" s="45">
        <v>0</v>
      </c>
      <c r="W8" s="45">
        <v>0</v>
      </c>
      <c r="X8" s="45">
        <v>0</v>
      </c>
      <c r="Y8" s="49">
        <v>0</v>
      </c>
      <c r="Z8" s="49">
        <v>0</v>
      </c>
    </row>
    <row r="9" spans="1:26" x14ac:dyDescent="0.3">
      <c r="A9" s="9" t="s">
        <v>16</v>
      </c>
      <c r="B9" s="24">
        <f>B7*B8</f>
        <v>6120</v>
      </c>
      <c r="C9" s="24">
        <f t="shared" ref="C9:N9" si="1">C7*C8</f>
        <v>34100</v>
      </c>
      <c r="D9" s="24">
        <f t="shared" si="1"/>
        <v>34700</v>
      </c>
      <c r="E9" s="24">
        <f t="shared" si="1"/>
        <v>26325</v>
      </c>
      <c r="F9" s="24">
        <f t="shared" si="1"/>
        <v>12390</v>
      </c>
      <c r="G9" s="24">
        <f t="shared" si="1"/>
        <v>23010</v>
      </c>
      <c r="H9" s="24">
        <f t="shared" si="1"/>
        <v>35400</v>
      </c>
      <c r="I9" s="24">
        <f t="shared" si="1"/>
        <v>20394</v>
      </c>
      <c r="J9" s="24">
        <f t="shared" si="1"/>
        <v>16686</v>
      </c>
      <c r="K9" s="24">
        <f t="shared" si="1"/>
        <v>27810</v>
      </c>
      <c r="L9" s="24">
        <f t="shared" si="1"/>
        <v>37080</v>
      </c>
      <c r="M9" s="24">
        <f t="shared" si="1"/>
        <v>20394</v>
      </c>
      <c r="N9" s="24">
        <f t="shared" si="1"/>
        <v>20911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8">
        <v>0</v>
      </c>
      <c r="Z9" s="48">
        <v>0</v>
      </c>
    </row>
    <row r="10" spans="1:26" x14ac:dyDescent="0.3">
      <c r="A10" s="27" t="s">
        <v>4</v>
      </c>
      <c r="B10" s="32"/>
      <c r="C10" s="32"/>
      <c r="D10" s="32"/>
      <c r="E10" s="32"/>
      <c r="F10" s="75"/>
      <c r="G10" s="75"/>
      <c r="H10" s="75"/>
      <c r="I10" s="75"/>
      <c r="J10" s="75"/>
      <c r="K10" s="75"/>
      <c r="L10" s="75"/>
      <c r="M10" s="75"/>
      <c r="N10" s="75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52"/>
      <c r="Z10" s="52"/>
    </row>
    <row r="11" spans="1:26" x14ac:dyDescent="0.3">
      <c r="A11" s="9" t="s">
        <v>11</v>
      </c>
      <c r="B11" s="21">
        <f>Sales_Budget!B11</f>
        <v>6000</v>
      </c>
      <c r="C11" s="21">
        <f>Sales_Budget!C11</f>
        <v>10000</v>
      </c>
      <c r="D11" s="21">
        <f>Sales_Budget!D11</f>
        <v>12000</v>
      </c>
      <c r="E11" s="21">
        <f>Sales_Budget!E11</f>
        <v>12000</v>
      </c>
      <c r="F11" s="21">
        <f>Sales_Budget!F11</f>
        <v>12000</v>
      </c>
      <c r="G11" s="21">
        <f>Sales_Budget!G11</f>
        <v>12000</v>
      </c>
      <c r="H11" s="21">
        <f>Sales_Budget!H11</f>
        <v>10000</v>
      </c>
      <c r="I11" s="21">
        <f>Sales_Budget!I11</f>
        <v>10000</v>
      </c>
      <c r="J11" s="21">
        <f>Sales_Budget!J11</f>
        <v>7000</v>
      </c>
      <c r="K11" s="21">
        <f>Sales_Budget!K11</f>
        <v>10000</v>
      </c>
      <c r="L11" s="21">
        <f>Sales_Budget!L11</f>
        <v>12000</v>
      </c>
      <c r="M11" s="21">
        <f>Sales_Budget!M11</f>
        <v>10000</v>
      </c>
      <c r="N11" s="21">
        <f>Sales_Budget!N11</f>
        <v>10000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8">
        <v>0</v>
      </c>
      <c r="Z11" s="48">
        <v>0</v>
      </c>
    </row>
    <row r="12" spans="1:26" x14ac:dyDescent="0.3">
      <c r="A12" s="9" t="s">
        <v>15</v>
      </c>
      <c r="B12" s="21">
        <v>9.9</v>
      </c>
      <c r="C12" s="21">
        <v>9.9</v>
      </c>
      <c r="D12" s="21">
        <v>9.9</v>
      </c>
      <c r="E12" s="21">
        <v>9.9</v>
      </c>
      <c r="F12" s="21">
        <v>9.9</v>
      </c>
      <c r="G12" s="34">
        <v>10.1</v>
      </c>
      <c r="H12" s="34">
        <v>11.5</v>
      </c>
      <c r="I12" s="34">
        <v>11.5</v>
      </c>
      <c r="J12" s="49">
        <v>11.5</v>
      </c>
      <c r="K12" s="50">
        <v>10</v>
      </c>
      <c r="L12" s="48">
        <v>13.4</v>
      </c>
      <c r="M12" s="48">
        <v>13.4</v>
      </c>
      <c r="N12" s="48">
        <v>10.1</v>
      </c>
      <c r="O12" s="39">
        <v>0</v>
      </c>
      <c r="P12" s="39">
        <v>0</v>
      </c>
      <c r="Q12" s="39">
        <v>0</v>
      </c>
      <c r="R12" s="39">
        <v>0</v>
      </c>
      <c r="S12" s="39">
        <v>0</v>
      </c>
      <c r="T12" s="39">
        <v>0</v>
      </c>
      <c r="U12" s="39">
        <v>0</v>
      </c>
      <c r="V12" s="39">
        <v>0</v>
      </c>
      <c r="W12" s="39">
        <v>0</v>
      </c>
      <c r="X12" s="39">
        <v>0</v>
      </c>
      <c r="Y12" s="50">
        <v>0</v>
      </c>
      <c r="Z12" s="50">
        <v>0</v>
      </c>
    </row>
    <row r="13" spans="1:26" x14ac:dyDescent="0.3">
      <c r="A13" s="9" t="s">
        <v>16</v>
      </c>
      <c r="B13" s="23">
        <f>B11*B12</f>
        <v>59400</v>
      </c>
      <c r="C13" s="23">
        <f t="shared" ref="C13:N13" si="2">C11*C12</f>
        <v>99000</v>
      </c>
      <c r="D13" s="23">
        <f t="shared" si="2"/>
        <v>118800</v>
      </c>
      <c r="E13" s="23">
        <f t="shared" si="2"/>
        <v>118800</v>
      </c>
      <c r="F13" s="23">
        <f t="shared" si="2"/>
        <v>118800</v>
      </c>
      <c r="G13" s="23">
        <f t="shared" si="2"/>
        <v>121200</v>
      </c>
      <c r="H13" s="23">
        <f t="shared" si="2"/>
        <v>115000</v>
      </c>
      <c r="I13" s="23">
        <f t="shared" si="2"/>
        <v>115000</v>
      </c>
      <c r="J13" s="23">
        <f t="shared" si="2"/>
        <v>80500</v>
      </c>
      <c r="K13" s="23">
        <f t="shared" si="2"/>
        <v>100000</v>
      </c>
      <c r="L13" s="23">
        <f t="shared" si="2"/>
        <v>160800</v>
      </c>
      <c r="M13" s="23">
        <f t="shared" si="2"/>
        <v>134000</v>
      </c>
      <c r="N13" s="23">
        <f t="shared" si="2"/>
        <v>101000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8">
        <v>0</v>
      </c>
      <c r="Z13" s="48">
        <v>0</v>
      </c>
    </row>
    <row r="14" spans="1:26" x14ac:dyDescent="0.3">
      <c r="A14" s="27" t="s">
        <v>5</v>
      </c>
      <c r="B14" s="76"/>
      <c r="C14" s="76"/>
      <c r="D14" s="76"/>
      <c r="E14" s="76"/>
      <c r="F14" s="76"/>
      <c r="G14" s="77"/>
      <c r="H14" s="75"/>
      <c r="I14" s="75"/>
      <c r="J14" s="75"/>
      <c r="K14" s="75"/>
      <c r="L14" s="75"/>
      <c r="M14" s="75"/>
      <c r="N14" s="75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52"/>
      <c r="Z14" s="52"/>
    </row>
    <row r="15" spans="1:26" x14ac:dyDescent="0.3">
      <c r="A15" s="9" t="s">
        <v>11</v>
      </c>
      <c r="B15" s="23">
        <f>Sales_Budget!B15</f>
        <v>0</v>
      </c>
      <c r="C15" s="23">
        <f>Sales_Budget!C15</f>
        <v>0</v>
      </c>
      <c r="D15" s="23">
        <f>Sales_Budget!D15</f>
        <v>0</v>
      </c>
      <c r="E15" s="23">
        <f>Sales_Budget!E15</f>
        <v>0</v>
      </c>
      <c r="F15" s="23">
        <f>Sales_Budget!F15</f>
        <v>0</v>
      </c>
      <c r="G15" s="23">
        <f>Sales_Budget!G15</f>
        <v>0</v>
      </c>
      <c r="H15" s="23">
        <f>Sales_Budget!H15</f>
        <v>250</v>
      </c>
      <c r="I15" s="23">
        <f>Sales_Budget!I15</f>
        <v>100</v>
      </c>
      <c r="J15" s="23">
        <f>Sales_Budget!J15</f>
        <v>150</v>
      </c>
      <c r="K15" s="23">
        <f>Sales_Budget!K15</f>
        <v>1000</v>
      </c>
      <c r="L15" s="23">
        <f>Sales_Budget!L15</f>
        <v>500</v>
      </c>
      <c r="M15" s="23">
        <f>Sales_Budget!M15</f>
        <v>150</v>
      </c>
      <c r="N15" s="23">
        <f>Sales_Budget!N15</f>
        <v>150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8">
        <v>0</v>
      </c>
      <c r="Z15" s="48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2">
        <v>7</v>
      </c>
      <c r="I16" s="48">
        <v>6.1</v>
      </c>
      <c r="J16" s="48">
        <v>9.5</v>
      </c>
      <c r="K16" s="42">
        <v>9.5</v>
      </c>
      <c r="L16" s="48">
        <v>9.5</v>
      </c>
      <c r="M16" s="48">
        <v>9.5</v>
      </c>
      <c r="N16" s="48">
        <v>10.6</v>
      </c>
      <c r="O16" s="36">
        <v>0</v>
      </c>
      <c r="P16" s="46">
        <v>0</v>
      </c>
      <c r="Q16" s="46">
        <v>0</v>
      </c>
      <c r="R16" s="46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6">
        <v>0</v>
      </c>
      <c r="Y16" s="48">
        <v>0</v>
      </c>
      <c r="Z16" s="48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1750</v>
      </c>
      <c r="I17" s="23">
        <f t="shared" si="3"/>
        <v>610</v>
      </c>
      <c r="J17" s="23">
        <f t="shared" si="3"/>
        <v>1425</v>
      </c>
      <c r="K17" s="23">
        <f t="shared" si="3"/>
        <v>9500</v>
      </c>
      <c r="L17" s="23">
        <f t="shared" si="3"/>
        <v>4750</v>
      </c>
      <c r="M17" s="23">
        <f t="shared" si="3"/>
        <v>1425</v>
      </c>
      <c r="N17" s="23">
        <f t="shared" si="3"/>
        <v>1590</v>
      </c>
      <c r="O17" s="46">
        <v>0</v>
      </c>
      <c r="P17" s="46">
        <v>0</v>
      </c>
      <c r="Q17" s="46">
        <v>0</v>
      </c>
      <c r="R17" s="46">
        <v>0</v>
      </c>
      <c r="S17" s="46">
        <v>0</v>
      </c>
      <c r="T17" s="46">
        <v>0</v>
      </c>
      <c r="U17" s="46">
        <v>0</v>
      </c>
      <c r="V17" s="46">
        <v>0</v>
      </c>
      <c r="W17" s="46">
        <v>0</v>
      </c>
      <c r="X17" s="46">
        <v>0</v>
      </c>
      <c r="Y17" s="48">
        <v>0</v>
      </c>
      <c r="Z17" s="48">
        <v>0</v>
      </c>
    </row>
    <row r="18" spans="1:26" x14ac:dyDescent="0.3">
      <c r="A18" s="27" t="s">
        <v>6</v>
      </c>
      <c r="B18" s="76"/>
      <c r="C18" s="76"/>
      <c r="D18" s="76"/>
      <c r="E18" s="76"/>
      <c r="F18" s="76"/>
      <c r="G18" s="77"/>
      <c r="H18" s="75"/>
      <c r="I18" s="75"/>
      <c r="J18" s="75"/>
      <c r="K18" s="75"/>
      <c r="L18" s="75"/>
      <c r="M18" s="75"/>
      <c r="N18" s="75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52"/>
      <c r="Z18" s="52"/>
    </row>
    <row r="19" spans="1:26" x14ac:dyDescent="0.3">
      <c r="A19" s="9" t="s">
        <v>14</v>
      </c>
      <c r="B19" s="21">
        <f>Sales_Budget!B19</f>
        <v>200</v>
      </c>
      <c r="C19" s="21">
        <f>Sales_Budget!C19</f>
        <v>150</v>
      </c>
      <c r="D19" s="21">
        <f>Sales_Budget!D19</f>
        <v>180</v>
      </c>
      <c r="E19" s="21">
        <f>Sales_Budget!E19</f>
        <v>250</v>
      </c>
      <c r="F19" s="21">
        <f>Sales_Budget!F19</f>
        <v>270</v>
      </c>
      <c r="G19" s="21">
        <f>Sales_Budget!G19</f>
        <v>270</v>
      </c>
      <c r="H19" s="21">
        <f>Sales_Budget!H19</f>
        <v>150</v>
      </c>
      <c r="I19" s="21">
        <f>Sales_Budget!I19</f>
        <v>250</v>
      </c>
      <c r="J19" s="21">
        <f>Sales_Budget!J19</f>
        <v>200</v>
      </c>
      <c r="K19" s="21">
        <f>Sales_Budget!K19</f>
        <v>200</v>
      </c>
      <c r="L19" s="21">
        <f>Sales_Budget!L19</f>
        <v>150</v>
      </c>
      <c r="M19" s="21">
        <f>Sales_Budget!M19</f>
        <v>80</v>
      </c>
      <c r="N19" s="21">
        <f>Sales_Budget!N19</f>
        <v>80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8">
        <v>0</v>
      </c>
      <c r="Z19" s="48">
        <v>0</v>
      </c>
    </row>
    <row r="20" spans="1:26" x14ac:dyDescent="0.3">
      <c r="A20" s="9" t="s">
        <v>15</v>
      </c>
      <c r="B20" s="20">
        <v>57.4</v>
      </c>
      <c r="C20" s="20">
        <v>45.1</v>
      </c>
      <c r="D20" s="20">
        <v>50.14</v>
      </c>
      <c r="E20" s="20">
        <v>45</v>
      </c>
      <c r="F20" s="20">
        <v>32.5</v>
      </c>
      <c r="G20" s="20">
        <v>45</v>
      </c>
      <c r="H20" s="20">
        <v>47</v>
      </c>
      <c r="I20" s="20">
        <v>52.4</v>
      </c>
      <c r="J20" s="20">
        <v>45.4</v>
      </c>
      <c r="K20" s="20">
        <v>45.4</v>
      </c>
      <c r="L20" s="20">
        <v>45.4</v>
      </c>
      <c r="M20" s="20">
        <v>45.4</v>
      </c>
      <c r="N20" s="20">
        <v>45.4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9">
        <v>0</v>
      </c>
      <c r="Z20" s="49">
        <v>0</v>
      </c>
    </row>
    <row r="21" spans="1:26" x14ac:dyDescent="0.3">
      <c r="A21" s="9" t="s">
        <v>16</v>
      </c>
      <c r="B21" s="23">
        <f>B19*B20</f>
        <v>11480</v>
      </c>
      <c r="C21" s="23">
        <f t="shared" ref="C21:N21" si="4">C19*C20</f>
        <v>6765</v>
      </c>
      <c r="D21" s="23">
        <f t="shared" si="4"/>
        <v>9025.2000000000007</v>
      </c>
      <c r="E21" s="23">
        <f t="shared" si="4"/>
        <v>11250</v>
      </c>
      <c r="F21" s="23">
        <f t="shared" si="4"/>
        <v>8775</v>
      </c>
      <c r="G21" s="23">
        <f t="shared" si="4"/>
        <v>12150</v>
      </c>
      <c r="H21" s="23">
        <f t="shared" si="4"/>
        <v>7050</v>
      </c>
      <c r="I21" s="23">
        <f t="shared" si="4"/>
        <v>13100</v>
      </c>
      <c r="J21" s="23">
        <f t="shared" si="4"/>
        <v>9080</v>
      </c>
      <c r="K21" s="23">
        <f t="shared" si="4"/>
        <v>9080</v>
      </c>
      <c r="L21" s="23">
        <f t="shared" si="4"/>
        <v>6810</v>
      </c>
      <c r="M21" s="23">
        <f t="shared" si="4"/>
        <v>3632</v>
      </c>
      <c r="N21" s="23">
        <f t="shared" si="4"/>
        <v>3632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6"/>
      <c r="C22" s="76"/>
      <c r="D22" s="76"/>
      <c r="E22" s="76"/>
      <c r="F22" s="76"/>
      <c r="G22" s="77"/>
      <c r="H22" s="75"/>
      <c r="I22" s="75"/>
      <c r="J22" s="75"/>
      <c r="K22" s="75"/>
      <c r="L22" s="75"/>
      <c r="M22" s="75"/>
      <c r="N22" s="75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52"/>
      <c r="Z22" s="52"/>
    </row>
    <row r="23" spans="1:26" x14ac:dyDescent="0.3">
      <c r="A23" s="9" t="s">
        <v>14</v>
      </c>
      <c r="B23" s="24">
        <f>Sales_Budget!B23</f>
        <v>130</v>
      </c>
      <c r="C23" s="24">
        <f>Sales_Budget!C23</f>
        <v>190</v>
      </c>
      <c r="D23" s="24">
        <f>Sales_Budget!D23</f>
        <v>250</v>
      </c>
      <c r="E23" s="24">
        <f>Sales_Budget!E23</f>
        <v>250</v>
      </c>
      <c r="F23" s="24">
        <f>Sales_Budget!F23</f>
        <v>280</v>
      </c>
      <c r="G23" s="24">
        <f>Sales_Budget!G23</f>
        <v>200</v>
      </c>
      <c r="H23" s="24">
        <f>Sales_Budget!H23</f>
        <v>250</v>
      </c>
      <c r="I23" s="24">
        <f>Sales_Budget!I23</f>
        <v>150</v>
      </c>
      <c r="J23" s="24">
        <f>Sales_Budget!J23</f>
        <v>150</v>
      </c>
      <c r="K23" s="24">
        <f>Sales_Budget!K23</f>
        <v>210</v>
      </c>
      <c r="L23" s="24">
        <f>Sales_Budget!L23</f>
        <v>80</v>
      </c>
      <c r="M23" s="24">
        <f>Sales_Budget!M23</f>
        <v>150</v>
      </c>
      <c r="N23" s="24">
        <f>Sales_Budget!N23</f>
        <v>150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8">
        <v>0</v>
      </c>
      <c r="Z23" s="48">
        <v>0</v>
      </c>
    </row>
    <row r="24" spans="1:26" x14ac:dyDescent="0.3">
      <c r="A24" s="9" t="s">
        <v>15</v>
      </c>
      <c r="B24" s="24">
        <v>25</v>
      </c>
      <c r="C24" s="24">
        <v>25</v>
      </c>
      <c r="D24" s="24">
        <v>27</v>
      </c>
      <c r="E24" s="24">
        <v>27</v>
      </c>
      <c r="F24" s="24">
        <v>19</v>
      </c>
      <c r="G24" s="24">
        <v>27</v>
      </c>
      <c r="H24" s="24">
        <v>27</v>
      </c>
      <c r="I24" s="24">
        <v>27</v>
      </c>
      <c r="J24" s="24">
        <v>25.4</v>
      </c>
      <c r="K24" s="24">
        <v>25.4</v>
      </c>
      <c r="L24" s="24">
        <v>25.4</v>
      </c>
      <c r="M24" s="24">
        <v>27.5</v>
      </c>
      <c r="N24" s="24">
        <v>29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5">
        <v>0</v>
      </c>
      <c r="U24" s="45">
        <v>0</v>
      </c>
      <c r="V24" s="45">
        <v>0</v>
      </c>
      <c r="W24" s="45">
        <v>0</v>
      </c>
      <c r="X24" s="45">
        <v>0</v>
      </c>
      <c r="Y24" s="49">
        <v>0</v>
      </c>
      <c r="Z24" s="49">
        <v>0</v>
      </c>
    </row>
    <row r="25" spans="1:26" x14ac:dyDescent="0.3">
      <c r="A25" s="9" t="s">
        <v>16</v>
      </c>
      <c r="B25" s="24">
        <f>B23*B24</f>
        <v>3250</v>
      </c>
      <c r="C25" s="24">
        <f t="shared" ref="C25:N25" si="5">C23*C24</f>
        <v>4750</v>
      </c>
      <c r="D25" s="24">
        <f t="shared" si="5"/>
        <v>6750</v>
      </c>
      <c r="E25" s="24">
        <f t="shared" si="5"/>
        <v>6750</v>
      </c>
      <c r="F25" s="24">
        <f t="shared" si="5"/>
        <v>5320</v>
      </c>
      <c r="G25" s="24">
        <f t="shared" si="5"/>
        <v>5400</v>
      </c>
      <c r="H25" s="24">
        <f t="shared" si="5"/>
        <v>6750</v>
      </c>
      <c r="I25" s="24">
        <f t="shared" si="5"/>
        <v>4050</v>
      </c>
      <c r="J25" s="24">
        <f t="shared" si="5"/>
        <v>3810</v>
      </c>
      <c r="K25" s="24">
        <f t="shared" si="5"/>
        <v>5334</v>
      </c>
      <c r="L25" s="24">
        <f t="shared" si="5"/>
        <v>2032</v>
      </c>
      <c r="M25" s="24">
        <f t="shared" si="5"/>
        <v>4125</v>
      </c>
      <c r="N25" s="24">
        <f t="shared" si="5"/>
        <v>4350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8">
        <v>0</v>
      </c>
      <c r="Z25" s="48">
        <v>0</v>
      </c>
    </row>
    <row r="26" spans="1:26" x14ac:dyDescent="0.3">
      <c r="A26" s="38" t="s">
        <v>8</v>
      </c>
      <c r="B26" s="76"/>
      <c r="C26" s="76"/>
      <c r="D26" s="76"/>
      <c r="E26" s="76"/>
      <c r="F26" s="76"/>
      <c r="G26" s="77"/>
      <c r="H26" s="75"/>
      <c r="I26" s="75"/>
      <c r="J26" s="75"/>
      <c r="K26" s="75"/>
      <c r="L26" s="75"/>
      <c r="M26" s="75"/>
      <c r="N26" s="75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52"/>
      <c r="Z26" s="52"/>
    </row>
    <row r="27" spans="1:26" x14ac:dyDescent="0.3">
      <c r="A27" s="9" t="s">
        <v>11</v>
      </c>
      <c r="B27" s="23">
        <f>Sales_Budget!B27</f>
        <v>0</v>
      </c>
      <c r="C27" s="23">
        <f>Sales_Budget!C27</f>
        <v>0</v>
      </c>
      <c r="D27" s="23">
        <f>Sales_Budget!D27</f>
        <v>150</v>
      </c>
      <c r="E27" s="23">
        <f>Sales_Budget!E27</f>
        <v>90</v>
      </c>
      <c r="F27" s="23">
        <f>Sales_Budget!F27</f>
        <v>80</v>
      </c>
      <c r="G27" s="23">
        <f>Sales_Budget!G27</f>
        <v>330</v>
      </c>
      <c r="H27" s="23">
        <f>Sales_Budget!H27</f>
        <v>400</v>
      </c>
      <c r="I27" s="23">
        <f>Sales_Budget!I27</f>
        <v>500</v>
      </c>
      <c r="J27" s="23">
        <f>Sales_Budget!J27</f>
        <v>250</v>
      </c>
      <c r="K27" s="23">
        <f>Sales_Budget!K27</f>
        <v>650</v>
      </c>
      <c r="L27" s="23">
        <f>Sales_Budget!L27</f>
        <v>850</v>
      </c>
      <c r="M27" s="23">
        <f>Sales_Budget!M27</f>
        <v>730</v>
      </c>
      <c r="N27" s="23">
        <f>Sales_Budget!N27</f>
        <v>730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8">
        <v>0</v>
      </c>
      <c r="Z27" s="48">
        <v>0</v>
      </c>
    </row>
    <row r="28" spans="1:26" x14ac:dyDescent="0.3">
      <c r="A28" s="9" t="s">
        <v>15</v>
      </c>
      <c r="B28" s="23">
        <v>0</v>
      </c>
      <c r="C28" s="23">
        <v>0</v>
      </c>
      <c r="D28" s="24">
        <v>12.6</v>
      </c>
      <c r="E28" s="24">
        <v>30</v>
      </c>
      <c r="F28" s="24">
        <v>16.5</v>
      </c>
      <c r="G28" s="24">
        <v>12</v>
      </c>
      <c r="H28" s="24">
        <v>10.7</v>
      </c>
      <c r="I28" s="24">
        <v>12.5</v>
      </c>
      <c r="J28" s="24">
        <v>11.4</v>
      </c>
      <c r="K28" s="24">
        <v>11.4</v>
      </c>
      <c r="L28" s="24">
        <v>11.4</v>
      </c>
      <c r="M28" s="24">
        <v>12.8</v>
      </c>
      <c r="N28" s="24">
        <v>12.5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5">
        <v>0</v>
      </c>
      <c r="U28" s="45">
        <v>0</v>
      </c>
      <c r="V28" s="45">
        <v>0</v>
      </c>
      <c r="W28" s="45">
        <v>0</v>
      </c>
      <c r="X28" s="45">
        <v>0</v>
      </c>
      <c r="Y28" s="49">
        <v>0</v>
      </c>
      <c r="Z28" s="49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0</v>
      </c>
      <c r="D29" s="23">
        <f t="shared" si="6"/>
        <v>1890</v>
      </c>
      <c r="E29" s="23">
        <f t="shared" si="6"/>
        <v>2700</v>
      </c>
      <c r="F29" s="23">
        <f t="shared" si="6"/>
        <v>1320</v>
      </c>
      <c r="G29" s="23">
        <f t="shared" si="6"/>
        <v>3960</v>
      </c>
      <c r="H29" s="23">
        <f t="shared" si="6"/>
        <v>4280</v>
      </c>
      <c r="I29" s="23">
        <f t="shared" si="6"/>
        <v>6250</v>
      </c>
      <c r="J29" s="23">
        <f t="shared" si="6"/>
        <v>2850</v>
      </c>
      <c r="K29" s="23">
        <f t="shared" si="6"/>
        <v>7410</v>
      </c>
      <c r="L29" s="23">
        <f t="shared" si="6"/>
        <v>9690</v>
      </c>
      <c r="M29" s="23">
        <f t="shared" si="6"/>
        <v>9344</v>
      </c>
      <c r="N29" s="23">
        <f t="shared" si="6"/>
        <v>9125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8">
        <v>0</v>
      </c>
      <c r="Z29" s="48">
        <v>0</v>
      </c>
    </row>
    <row r="30" spans="1:26" x14ac:dyDescent="0.3">
      <c r="A30" s="27" t="s">
        <v>9</v>
      </c>
      <c r="B30" s="76"/>
      <c r="C30" s="76"/>
      <c r="D30" s="76"/>
      <c r="E30" s="76"/>
      <c r="F30" s="76"/>
      <c r="G30" s="77"/>
      <c r="H30" s="75"/>
      <c r="I30" s="75"/>
      <c r="J30" s="75"/>
      <c r="K30" s="75"/>
      <c r="L30" s="75"/>
      <c r="M30" s="75"/>
      <c r="N30" s="75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51"/>
      <c r="Z30" s="51"/>
    </row>
    <row r="31" spans="1:26" x14ac:dyDescent="0.3">
      <c r="A31" s="9" t="s">
        <v>14</v>
      </c>
      <c r="B31" s="21">
        <f>Sales_Budget!B31</f>
        <v>20</v>
      </c>
      <c r="C31" s="21">
        <f>Sales_Budget!C31</f>
        <v>0</v>
      </c>
      <c r="D31" s="21">
        <f>Sales_Budget!D31</f>
        <v>20</v>
      </c>
      <c r="E31" s="21">
        <f>Sales_Budget!E31</f>
        <v>0</v>
      </c>
      <c r="F31" s="21">
        <f>Sales_Budget!F31</f>
        <v>0</v>
      </c>
      <c r="G31" s="21">
        <f>Sales_Budget!G31</f>
        <v>0</v>
      </c>
      <c r="H31" s="21">
        <f>Sales_Budget!H31</f>
        <v>0</v>
      </c>
      <c r="I31" s="21">
        <f>Sales_Budget!I31</f>
        <v>0</v>
      </c>
      <c r="J31" s="21">
        <f>Sales_Budget!J31</f>
        <v>0</v>
      </c>
      <c r="K31" s="21">
        <f>Sales_Budget!K31</f>
        <v>300</v>
      </c>
      <c r="L31" s="21">
        <f>Sales_Budget!L31</f>
        <v>600</v>
      </c>
      <c r="M31" s="21">
        <f>Sales_Budget!M31</f>
        <v>180</v>
      </c>
      <c r="N31" s="21">
        <f>Sales_Budget!N31</f>
        <v>180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8">
        <v>0</v>
      </c>
      <c r="Z31" s="48">
        <v>0</v>
      </c>
    </row>
    <row r="32" spans="1:26" x14ac:dyDescent="0.3">
      <c r="A32" s="9" t="s">
        <v>15</v>
      </c>
      <c r="B32" s="20">
        <v>29.4</v>
      </c>
      <c r="C32" s="20">
        <v>0</v>
      </c>
      <c r="D32" s="20">
        <v>24.2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34.1</v>
      </c>
      <c r="L32" s="20">
        <v>34.1</v>
      </c>
      <c r="M32" s="20">
        <v>30</v>
      </c>
      <c r="N32" s="20">
        <v>31.1</v>
      </c>
      <c r="O32" s="45">
        <v>0</v>
      </c>
      <c r="P32" s="45">
        <v>0</v>
      </c>
      <c r="Q32" s="45">
        <v>0</v>
      </c>
      <c r="R32" s="45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5">
        <v>0</v>
      </c>
      <c r="Y32" s="49">
        <v>0</v>
      </c>
      <c r="Z32" s="49">
        <v>0</v>
      </c>
    </row>
    <row r="33" spans="1:26" x14ac:dyDescent="0.3">
      <c r="A33" s="9" t="s">
        <v>16</v>
      </c>
      <c r="B33" s="23">
        <f>B31*B32</f>
        <v>588</v>
      </c>
      <c r="C33" s="23">
        <f t="shared" ref="C33:N33" si="7">C31*C32</f>
        <v>0</v>
      </c>
      <c r="D33" s="23">
        <f t="shared" si="7"/>
        <v>484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10230</v>
      </c>
      <c r="L33" s="23">
        <f t="shared" si="7"/>
        <v>20460</v>
      </c>
      <c r="M33" s="23">
        <f t="shared" si="7"/>
        <v>5400</v>
      </c>
      <c r="N33" s="23">
        <f t="shared" si="7"/>
        <v>5598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8">
        <v>0</v>
      </c>
      <c r="Z33" s="48">
        <v>0</v>
      </c>
    </row>
    <row r="34" spans="1:26" x14ac:dyDescent="0.3">
      <c r="A34" s="27" t="s">
        <v>2</v>
      </c>
      <c r="B34" s="76"/>
      <c r="C34" s="76"/>
      <c r="D34" s="76"/>
      <c r="E34" s="76"/>
      <c r="F34" s="76"/>
      <c r="G34" s="77"/>
      <c r="H34" s="75"/>
      <c r="I34" s="75"/>
      <c r="J34" s="75"/>
      <c r="K34" s="75"/>
      <c r="L34" s="75"/>
      <c r="M34" s="75"/>
      <c r="N34" s="75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51"/>
      <c r="Z34" s="51"/>
    </row>
    <row r="35" spans="1:26" x14ac:dyDescent="0.3">
      <c r="A35" s="9" t="s">
        <v>16</v>
      </c>
      <c r="B35" s="23">
        <f>Sales_Budget!B35*0.65</f>
        <v>650</v>
      </c>
      <c r="C35" s="23">
        <f>Sales_Budget!C35*0.65</f>
        <v>2600</v>
      </c>
      <c r="D35" s="23">
        <f>Sales_Budget!D35*0.65</f>
        <v>2600</v>
      </c>
      <c r="E35" s="23">
        <f>Sales_Budget!E35*0.65</f>
        <v>2600</v>
      </c>
      <c r="F35" s="23">
        <f>Sales_Budget!F35*0.65</f>
        <v>2600</v>
      </c>
      <c r="G35" s="23">
        <f>Sales_Budget!G35*0.65</f>
        <v>2600</v>
      </c>
      <c r="H35" s="23">
        <f>Sales_Budget!H35*0.65</f>
        <v>2600</v>
      </c>
      <c r="I35" s="23">
        <f>Sales_Budget!I35*0.65</f>
        <v>2600</v>
      </c>
      <c r="J35" s="23">
        <f>Sales_Budget!J35*0.65</f>
        <v>2600</v>
      </c>
      <c r="K35" s="23">
        <f>Sales_Budget!K35*0.65</f>
        <v>2600</v>
      </c>
      <c r="L35" s="23">
        <f>Sales_Budget!L35*0.65</f>
        <v>2600</v>
      </c>
      <c r="M35" s="23">
        <f>Sales_Budget!M35*0.65</f>
        <v>2600</v>
      </c>
      <c r="N35" s="23">
        <f>Sales_Budget!N35*0.65</f>
        <v>2600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</row>
    <row r="36" spans="1:26" x14ac:dyDescent="0.3">
      <c r="A36" s="27" t="s">
        <v>10</v>
      </c>
      <c r="B36" s="33">
        <f t="shared" ref="B36:N36" si="8">B5+B9+B13+B17+B21+B25+B29+B33+B35</f>
        <v>89791</v>
      </c>
      <c r="C36" s="33">
        <f t="shared" si="8"/>
        <v>169065</v>
      </c>
      <c r="D36" s="33">
        <f t="shared" si="8"/>
        <v>207024.2</v>
      </c>
      <c r="E36" s="33">
        <f t="shared" si="8"/>
        <v>199015</v>
      </c>
      <c r="F36" s="33">
        <f t="shared" si="8"/>
        <v>163005</v>
      </c>
      <c r="G36" s="33">
        <f t="shared" si="8"/>
        <v>212520</v>
      </c>
      <c r="H36" s="33">
        <f t="shared" si="8"/>
        <v>212230</v>
      </c>
      <c r="I36" s="33">
        <f t="shared" si="8"/>
        <v>193744</v>
      </c>
      <c r="J36" s="33">
        <f t="shared" si="8"/>
        <v>130211</v>
      </c>
      <c r="K36" s="33">
        <f t="shared" si="8"/>
        <v>212044</v>
      </c>
      <c r="L36" s="33">
        <f t="shared" si="8"/>
        <v>298372</v>
      </c>
      <c r="M36" s="33">
        <f t="shared" si="8"/>
        <v>221012</v>
      </c>
      <c r="N36" s="33">
        <f t="shared" si="8"/>
        <v>186246</v>
      </c>
      <c r="O36" s="73">
        <v>0</v>
      </c>
      <c r="P36" s="73">
        <v>0</v>
      </c>
      <c r="Q36" s="73">
        <v>0</v>
      </c>
      <c r="R36" s="73">
        <v>0</v>
      </c>
      <c r="S36" s="73">
        <v>0</v>
      </c>
      <c r="T36" s="73">
        <v>0</v>
      </c>
      <c r="U36" s="73">
        <v>0</v>
      </c>
      <c r="V36" s="73">
        <v>0</v>
      </c>
      <c r="W36" s="73">
        <v>0</v>
      </c>
      <c r="X36" s="73">
        <v>0</v>
      </c>
      <c r="Y36" s="74">
        <v>0</v>
      </c>
      <c r="Z36" s="74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2" sqref="A2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  <c r="AA1" s="53"/>
    </row>
    <row r="2" spans="1:27" ht="28.8" customHeight="1" x14ac:dyDescent="0.3">
      <c r="A2" s="82" t="s">
        <v>49</v>
      </c>
      <c r="B2" s="83">
        <v>170000</v>
      </c>
      <c r="C2" s="83">
        <v>180000</v>
      </c>
      <c r="D2" s="83">
        <v>180000</v>
      </c>
      <c r="E2" s="83">
        <v>180000</v>
      </c>
      <c r="F2" s="83">
        <v>180000</v>
      </c>
      <c r="G2" s="83">
        <v>200000</v>
      </c>
      <c r="H2" s="83">
        <v>200000</v>
      </c>
      <c r="I2" s="83">
        <v>200000</v>
      </c>
      <c r="J2" s="83">
        <v>230000</v>
      </c>
      <c r="K2" s="83">
        <v>230000</v>
      </c>
      <c r="L2" s="83">
        <v>230000</v>
      </c>
      <c r="M2" s="83">
        <v>230000</v>
      </c>
      <c r="N2" s="83">
        <v>270000</v>
      </c>
      <c r="O2" s="83">
        <v>0</v>
      </c>
      <c r="P2" s="83">
        <v>0</v>
      </c>
      <c r="Q2" s="83">
        <v>0</v>
      </c>
      <c r="R2" s="83">
        <v>0</v>
      </c>
      <c r="S2" s="83">
        <v>0</v>
      </c>
      <c r="T2" s="83">
        <v>0</v>
      </c>
      <c r="U2" s="83">
        <v>0</v>
      </c>
      <c r="V2" s="83">
        <v>0</v>
      </c>
      <c r="W2" s="83">
        <v>0</v>
      </c>
      <c r="X2" s="83">
        <v>0</v>
      </c>
      <c r="Y2" s="83">
        <v>0</v>
      </c>
      <c r="Z2" s="83">
        <v>0</v>
      </c>
      <c r="AA2" s="83"/>
    </row>
    <row r="3" spans="1:27" ht="28.8" customHeight="1" x14ac:dyDescent="0.3">
      <c r="A3" s="82" t="s">
        <v>50</v>
      </c>
      <c r="B3" s="83">
        <v>110000</v>
      </c>
      <c r="C3" s="83">
        <v>110000</v>
      </c>
      <c r="D3" s="83">
        <v>110000</v>
      </c>
      <c r="E3" s="83">
        <v>110000</v>
      </c>
      <c r="F3" s="83">
        <v>150000</v>
      </c>
      <c r="G3" s="83">
        <v>150000</v>
      </c>
      <c r="H3" s="83">
        <v>150000</v>
      </c>
      <c r="I3" s="83">
        <v>150000</v>
      </c>
      <c r="J3" s="83">
        <v>120000</v>
      </c>
      <c r="K3" s="83">
        <v>120000</v>
      </c>
      <c r="L3" s="83">
        <v>150000</v>
      </c>
      <c r="M3" s="83">
        <v>150000</v>
      </c>
      <c r="N3" s="83">
        <v>150000</v>
      </c>
      <c r="O3" s="83">
        <v>0</v>
      </c>
      <c r="P3" s="83">
        <v>0</v>
      </c>
      <c r="Q3" s="83">
        <v>0</v>
      </c>
      <c r="R3" s="83">
        <v>0</v>
      </c>
      <c r="S3" s="83">
        <v>0</v>
      </c>
      <c r="T3" s="83">
        <v>0</v>
      </c>
      <c r="U3" s="83">
        <v>0</v>
      </c>
      <c r="V3" s="83">
        <v>0</v>
      </c>
      <c r="W3" s="83">
        <v>0</v>
      </c>
      <c r="X3" s="83">
        <v>0</v>
      </c>
      <c r="Y3" s="83">
        <v>0</v>
      </c>
      <c r="Z3" s="83">
        <v>0</v>
      </c>
      <c r="AA3" s="83"/>
    </row>
    <row r="4" spans="1:27" ht="28.8" customHeight="1" x14ac:dyDescent="0.3">
      <c r="A4" s="82" t="s">
        <v>51</v>
      </c>
      <c r="B4" s="83">
        <v>40000</v>
      </c>
      <c r="C4" s="83">
        <v>40000</v>
      </c>
      <c r="D4" s="83">
        <v>40000</v>
      </c>
      <c r="E4" s="83">
        <v>40000</v>
      </c>
      <c r="F4" s="83">
        <v>40000</v>
      </c>
      <c r="G4" s="83">
        <v>40000</v>
      </c>
      <c r="H4" s="83">
        <v>40000</v>
      </c>
      <c r="I4" s="83">
        <v>10000</v>
      </c>
      <c r="J4" s="83">
        <v>10000</v>
      </c>
      <c r="K4" s="83">
        <v>10000</v>
      </c>
      <c r="L4" s="83">
        <v>10000</v>
      </c>
      <c r="M4" s="83">
        <v>10000</v>
      </c>
      <c r="N4" s="83">
        <v>10000</v>
      </c>
      <c r="O4" s="83">
        <v>0</v>
      </c>
      <c r="P4" s="83">
        <v>0</v>
      </c>
      <c r="Q4" s="83">
        <v>0</v>
      </c>
      <c r="R4" s="83">
        <v>0</v>
      </c>
      <c r="S4" s="83">
        <v>0</v>
      </c>
      <c r="T4" s="83">
        <v>0</v>
      </c>
      <c r="U4" s="83">
        <v>0</v>
      </c>
      <c r="V4" s="83">
        <v>0</v>
      </c>
      <c r="W4" s="83">
        <v>0</v>
      </c>
      <c r="X4" s="83">
        <v>0</v>
      </c>
      <c r="Y4" s="83">
        <v>0</v>
      </c>
      <c r="Z4" s="83">
        <v>0</v>
      </c>
      <c r="AA4" s="83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78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  <c r="AA1" s="53">
        <v>47119</v>
      </c>
      <c r="AB1" s="53">
        <v>47209</v>
      </c>
      <c r="AC1" s="53">
        <v>47300</v>
      </c>
      <c r="AD1" s="53">
        <v>47392</v>
      </c>
    </row>
    <row r="2" spans="1:30" ht="21" customHeight="1" x14ac:dyDescent="0.2">
      <c r="A2" s="85" t="s">
        <v>52</v>
      </c>
      <c r="B2" s="86">
        <v>660000</v>
      </c>
      <c r="C2" s="40">
        <f>B3</f>
        <v>677000</v>
      </c>
      <c r="D2" s="40">
        <f t="shared" ref="D2:N2" si="0">C3</f>
        <v>694000</v>
      </c>
      <c r="E2" s="40">
        <f t="shared" si="0"/>
        <v>711000</v>
      </c>
      <c r="F2" s="40">
        <f t="shared" si="0"/>
        <v>728000</v>
      </c>
      <c r="G2" s="40">
        <f t="shared" si="0"/>
        <v>783000</v>
      </c>
      <c r="H2" s="40">
        <f t="shared" si="0"/>
        <v>838000</v>
      </c>
      <c r="I2" s="40">
        <f t="shared" si="0"/>
        <v>893000</v>
      </c>
      <c r="J2" s="40">
        <f t="shared" si="0"/>
        <v>948000</v>
      </c>
      <c r="K2" s="40">
        <f t="shared" si="0"/>
        <v>965000</v>
      </c>
      <c r="L2" s="40">
        <f t="shared" si="0"/>
        <v>982000</v>
      </c>
      <c r="M2" s="40">
        <f t="shared" si="0"/>
        <v>999000</v>
      </c>
      <c r="N2" s="40">
        <f t="shared" si="0"/>
        <v>1016000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</row>
    <row r="3" spans="1:30" ht="21" customHeight="1" x14ac:dyDescent="0.2">
      <c r="A3" s="85" t="s">
        <v>53</v>
      </c>
      <c r="B3" s="86">
        <f>B2+17000</f>
        <v>677000</v>
      </c>
      <c r="C3" s="86">
        <f t="shared" ref="C3:E3" si="1">C2+17000</f>
        <v>694000</v>
      </c>
      <c r="D3" s="86">
        <f t="shared" si="1"/>
        <v>711000</v>
      </c>
      <c r="E3" s="86">
        <f t="shared" si="1"/>
        <v>728000</v>
      </c>
      <c r="F3" s="86">
        <f>F2+55000</f>
        <v>783000</v>
      </c>
      <c r="G3" s="86">
        <f t="shared" ref="G3:I3" si="2">G2+55000</f>
        <v>838000</v>
      </c>
      <c r="H3" s="86">
        <f t="shared" si="2"/>
        <v>893000</v>
      </c>
      <c r="I3" s="86">
        <f t="shared" si="2"/>
        <v>948000</v>
      </c>
      <c r="J3" s="86">
        <f>J2+17000</f>
        <v>965000</v>
      </c>
      <c r="K3" s="86">
        <f t="shared" ref="K3:N3" si="3">K2+17000</f>
        <v>982000</v>
      </c>
      <c r="L3" s="86">
        <f t="shared" si="3"/>
        <v>999000</v>
      </c>
      <c r="M3" s="86">
        <f t="shared" si="3"/>
        <v>1016000</v>
      </c>
      <c r="N3" s="86">
        <f t="shared" si="3"/>
        <v>1033000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</row>
    <row r="4" spans="1:30" ht="21" customHeight="1" x14ac:dyDescent="0.2">
      <c r="A4" s="85" t="s">
        <v>54</v>
      </c>
      <c r="B4" s="86">
        <v>200000</v>
      </c>
      <c r="C4" s="40">
        <f>B5</f>
        <v>197000</v>
      </c>
      <c r="D4" s="40">
        <f t="shared" ref="D4:N4" si="4">C5</f>
        <v>194000</v>
      </c>
      <c r="E4" s="40">
        <f t="shared" si="4"/>
        <v>191000</v>
      </c>
      <c r="F4" s="40">
        <f t="shared" si="4"/>
        <v>188000</v>
      </c>
      <c r="G4" s="40">
        <f t="shared" si="4"/>
        <v>185000</v>
      </c>
      <c r="H4" s="40">
        <f t="shared" si="4"/>
        <v>182000</v>
      </c>
      <c r="I4" s="40">
        <f t="shared" si="4"/>
        <v>179000</v>
      </c>
      <c r="J4" s="40">
        <f t="shared" si="4"/>
        <v>176000</v>
      </c>
      <c r="K4" s="40">
        <f t="shared" si="4"/>
        <v>173000</v>
      </c>
      <c r="L4" s="40">
        <f t="shared" si="4"/>
        <v>170000</v>
      </c>
      <c r="M4" s="40">
        <f t="shared" si="4"/>
        <v>167000</v>
      </c>
      <c r="N4" s="40">
        <f t="shared" si="4"/>
        <v>164000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</row>
    <row r="5" spans="1:30" ht="21" customHeight="1" x14ac:dyDescent="0.2">
      <c r="A5" s="85" t="s">
        <v>55</v>
      </c>
      <c r="B5" s="86">
        <v>197000</v>
      </c>
      <c r="C5" s="86">
        <f>C4-3000</f>
        <v>194000</v>
      </c>
      <c r="D5" s="86">
        <f t="shared" ref="D5:N5" si="5">D4-3000</f>
        <v>191000</v>
      </c>
      <c r="E5" s="86">
        <f t="shared" si="5"/>
        <v>188000</v>
      </c>
      <c r="F5" s="86">
        <f t="shared" si="5"/>
        <v>185000</v>
      </c>
      <c r="G5" s="86">
        <f t="shared" si="5"/>
        <v>182000</v>
      </c>
      <c r="H5" s="86">
        <f t="shared" si="5"/>
        <v>179000</v>
      </c>
      <c r="I5" s="86">
        <f t="shared" si="5"/>
        <v>176000</v>
      </c>
      <c r="J5" s="86">
        <f t="shared" si="5"/>
        <v>173000</v>
      </c>
      <c r="K5" s="86">
        <f t="shared" si="5"/>
        <v>170000</v>
      </c>
      <c r="L5" s="86">
        <f t="shared" si="5"/>
        <v>167000</v>
      </c>
      <c r="M5" s="86">
        <f t="shared" si="5"/>
        <v>164000</v>
      </c>
      <c r="N5" s="86">
        <f t="shared" si="5"/>
        <v>161000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</row>
    <row r="6" spans="1:30" ht="21" customHeight="1" x14ac:dyDescent="0.2">
      <c r="A6" s="85" t="s">
        <v>57</v>
      </c>
      <c r="B6" s="86">
        <v>15000</v>
      </c>
      <c r="C6" s="86">
        <v>15000</v>
      </c>
      <c r="D6" s="86">
        <v>15000</v>
      </c>
      <c r="E6" s="86">
        <v>15000</v>
      </c>
      <c r="F6" s="86">
        <v>15000</v>
      </c>
      <c r="G6" s="86">
        <v>15000</v>
      </c>
      <c r="H6" s="86">
        <v>15000</v>
      </c>
      <c r="I6" s="86">
        <v>15000</v>
      </c>
      <c r="J6" s="86">
        <v>15000</v>
      </c>
      <c r="K6" s="86">
        <v>15000</v>
      </c>
      <c r="L6" s="86">
        <v>15000</v>
      </c>
      <c r="M6" s="86">
        <v>15000</v>
      </c>
      <c r="N6" s="86">
        <v>15000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21" customHeight="1" x14ac:dyDescent="0.2">
      <c r="A7" s="19" t="s">
        <v>56</v>
      </c>
      <c r="B7" s="87">
        <f>B3+B5-B2-B4</f>
        <v>14000</v>
      </c>
      <c r="C7" s="87">
        <f t="shared" ref="C7:N7" si="6">C3+C5-C2-C4</f>
        <v>14000</v>
      </c>
      <c r="D7" s="87">
        <f t="shared" si="6"/>
        <v>14000</v>
      </c>
      <c r="E7" s="87">
        <f t="shared" si="6"/>
        <v>14000</v>
      </c>
      <c r="F7" s="87">
        <f t="shared" si="6"/>
        <v>52000</v>
      </c>
      <c r="G7" s="87">
        <f t="shared" si="6"/>
        <v>52000</v>
      </c>
      <c r="H7" s="87">
        <f t="shared" si="6"/>
        <v>52000</v>
      </c>
      <c r="I7" s="87">
        <f t="shared" si="6"/>
        <v>52000</v>
      </c>
      <c r="J7" s="87">
        <f t="shared" si="6"/>
        <v>14000</v>
      </c>
      <c r="K7" s="87">
        <f t="shared" si="6"/>
        <v>14000</v>
      </c>
      <c r="L7" s="87">
        <f t="shared" si="6"/>
        <v>14000</v>
      </c>
      <c r="M7" s="87">
        <f t="shared" si="6"/>
        <v>14000</v>
      </c>
      <c r="N7" s="87">
        <f t="shared" si="6"/>
        <v>14000</v>
      </c>
      <c r="O7" s="59">
        <f t="shared" ref="O7" si="7">O3+O5-O2-O4</f>
        <v>0</v>
      </c>
      <c r="P7" s="59">
        <f t="shared" ref="P7" si="8">P3+P5-P2-P4</f>
        <v>0</v>
      </c>
      <c r="Q7" s="59">
        <f t="shared" ref="Q7" si="9">Q3+Q5-Q2-Q4</f>
        <v>0</v>
      </c>
      <c r="R7" s="59">
        <f t="shared" ref="R7" si="10">R3+R5-R2-R4</f>
        <v>0</v>
      </c>
      <c r="S7" s="59">
        <f t="shared" ref="S7" si="11">S3+S5-S2-S4</f>
        <v>0</v>
      </c>
      <c r="T7" s="59">
        <f t="shared" ref="T7" si="12">T3+T5-T2-T4</f>
        <v>0</v>
      </c>
      <c r="U7" s="59">
        <f t="shared" ref="U7" si="13">U3+U5-U2-U4</f>
        <v>0</v>
      </c>
      <c r="V7" s="59">
        <f t="shared" ref="V7" si="14">V3+V5-V2-V4</f>
        <v>0</v>
      </c>
      <c r="W7" s="59">
        <f t="shared" ref="W7" si="15">W3+W5-W2-W4</f>
        <v>0</v>
      </c>
      <c r="X7" s="59">
        <f t="shared" ref="X7" si="16">X3+X5-X2-X4</f>
        <v>0</v>
      </c>
      <c r="Y7" s="59">
        <f t="shared" ref="Y7" si="17">Y3+Y5-Y2-Y4</f>
        <v>0</v>
      </c>
      <c r="Z7" s="59">
        <f t="shared" ref="Z7" si="18">Z3+Z5-Z2-Z4</f>
        <v>0</v>
      </c>
      <c r="AA7" s="59">
        <f t="shared" ref="AA7" si="19">AA3+AA5-AA2-AA4</f>
        <v>0</v>
      </c>
      <c r="AB7" s="59">
        <f t="shared" ref="AB7" si="20">AB3+AB5-AB2-AB4</f>
        <v>0</v>
      </c>
      <c r="AC7" s="59">
        <f t="shared" ref="AC7" si="21">AC3+AC5-AC2-AC4</f>
        <v>0</v>
      </c>
      <c r="AD7" s="59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K5" sqref="K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2">
      <c r="A2" s="12" t="s">
        <v>61</v>
      </c>
      <c r="B2" s="41">
        <v>0</v>
      </c>
      <c r="C2" s="41">
        <f>B5</f>
        <v>0</v>
      </c>
      <c r="D2" s="41">
        <f t="shared" ref="D2:Z2" si="0">C5</f>
        <v>0</v>
      </c>
      <c r="E2" s="41">
        <f t="shared" si="0"/>
        <v>0</v>
      </c>
      <c r="F2" s="41">
        <f t="shared" si="0"/>
        <v>0</v>
      </c>
      <c r="G2" s="41">
        <f t="shared" si="0"/>
        <v>0</v>
      </c>
      <c r="H2" s="41">
        <f t="shared" si="0"/>
        <v>7000</v>
      </c>
      <c r="I2" s="41">
        <f t="shared" si="0"/>
        <v>17000</v>
      </c>
      <c r="J2" s="41">
        <f t="shared" si="0"/>
        <v>53000</v>
      </c>
      <c r="K2" s="41">
        <f t="shared" si="0"/>
        <v>48000</v>
      </c>
      <c r="L2" s="41">
        <f t="shared" si="0"/>
        <v>0</v>
      </c>
      <c r="M2" s="41">
        <f t="shared" si="0"/>
        <v>0</v>
      </c>
      <c r="N2" s="41">
        <f t="shared" si="0"/>
        <v>0</v>
      </c>
      <c r="O2" s="41">
        <f t="shared" si="0"/>
        <v>0</v>
      </c>
      <c r="P2" s="41">
        <f t="shared" si="0"/>
        <v>0</v>
      </c>
      <c r="Q2" s="41">
        <f t="shared" si="0"/>
        <v>0</v>
      </c>
      <c r="R2" s="41">
        <f t="shared" si="0"/>
        <v>0</v>
      </c>
      <c r="S2" s="41">
        <f t="shared" si="0"/>
        <v>0</v>
      </c>
      <c r="T2" s="41">
        <f t="shared" si="0"/>
        <v>0</v>
      </c>
      <c r="U2" s="41">
        <f t="shared" si="0"/>
        <v>0</v>
      </c>
      <c r="V2" s="41">
        <f t="shared" si="0"/>
        <v>0</v>
      </c>
      <c r="W2" s="41">
        <f t="shared" si="0"/>
        <v>0</v>
      </c>
      <c r="X2" s="41">
        <f t="shared" si="0"/>
        <v>0</v>
      </c>
      <c r="Y2" s="41">
        <f t="shared" si="0"/>
        <v>0</v>
      </c>
      <c r="Z2" s="41">
        <f t="shared" si="0"/>
        <v>0</v>
      </c>
    </row>
    <row r="3" spans="1:26" x14ac:dyDescent="0.2">
      <c r="A3" s="12" t="s">
        <v>62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7000</v>
      </c>
      <c r="H3" s="41">
        <v>10000</v>
      </c>
      <c r="I3" s="41">
        <v>36000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</row>
    <row r="4" spans="1:26" x14ac:dyDescent="0.2">
      <c r="A4" s="12" t="s">
        <v>58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5000</v>
      </c>
      <c r="K4" s="41">
        <v>48000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</row>
    <row r="5" spans="1:26" x14ac:dyDescent="0.2">
      <c r="A5" s="12" t="s">
        <v>63</v>
      </c>
      <c r="B5" s="41">
        <f>B2+B3-B4</f>
        <v>0</v>
      </c>
      <c r="C5" s="41">
        <f t="shared" ref="C5:Z5" si="1">C2+C3-C4</f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7000</v>
      </c>
      <c r="H5" s="41">
        <f t="shared" si="1"/>
        <v>17000</v>
      </c>
      <c r="I5" s="41">
        <f t="shared" si="1"/>
        <v>53000</v>
      </c>
      <c r="J5" s="41">
        <f t="shared" si="1"/>
        <v>48000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</row>
    <row r="6" spans="1:26" x14ac:dyDescent="0.2">
      <c r="A6" s="12" t="s">
        <v>59</v>
      </c>
      <c r="B6" s="89">
        <v>0.19</v>
      </c>
      <c r="C6" s="89">
        <v>0.19</v>
      </c>
      <c r="D6" s="89">
        <v>0.19</v>
      </c>
      <c r="E6" s="89">
        <v>0.19</v>
      </c>
      <c r="F6" s="89">
        <v>0.19</v>
      </c>
      <c r="G6" s="89">
        <v>0.19</v>
      </c>
      <c r="H6" s="89">
        <v>0.19</v>
      </c>
      <c r="I6" s="89">
        <v>0.19</v>
      </c>
      <c r="J6" s="89">
        <v>0.19</v>
      </c>
      <c r="K6" s="89">
        <v>0.19</v>
      </c>
      <c r="L6" s="89">
        <v>0.19</v>
      </c>
      <c r="M6" s="89">
        <v>0.19</v>
      </c>
      <c r="N6" s="89">
        <v>0.19</v>
      </c>
      <c r="O6" s="89">
        <v>0.19</v>
      </c>
      <c r="P6" s="89">
        <v>0.19</v>
      </c>
      <c r="Q6" s="89">
        <v>0.19</v>
      </c>
      <c r="R6" s="89">
        <v>0.19</v>
      </c>
      <c r="S6" s="89">
        <v>0.19</v>
      </c>
      <c r="T6" s="89">
        <v>0.19</v>
      </c>
      <c r="U6" s="89">
        <v>0.19</v>
      </c>
      <c r="V6" s="89">
        <v>0.19</v>
      </c>
      <c r="W6" s="89">
        <v>0.19</v>
      </c>
      <c r="X6" s="89">
        <v>0.19</v>
      </c>
      <c r="Y6" s="89">
        <v>0.19</v>
      </c>
      <c r="Z6" s="89">
        <v>0.19</v>
      </c>
    </row>
    <row r="7" spans="1:26" x14ac:dyDescent="0.2">
      <c r="A7" s="12" t="s">
        <v>60</v>
      </c>
      <c r="B7" s="41">
        <f>(B2+B5)*B6/2</f>
        <v>0</v>
      </c>
      <c r="C7" s="41">
        <f t="shared" ref="C7:F7" si="2">(C2+C5)*C6/2</f>
        <v>0</v>
      </c>
      <c r="D7" s="41">
        <f t="shared" si="2"/>
        <v>0</v>
      </c>
      <c r="E7" s="41">
        <f t="shared" si="2"/>
        <v>0</v>
      </c>
      <c r="F7" s="41">
        <f t="shared" si="2"/>
        <v>0</v>
      </c>
      <c r="G7" s="41">
        <f t="shared" ref="G7" si="3">(G2+G5)*G6/2</f>
        <v>665</v>
      </c>
      <c r="H7" s="41">
        <f t="shared" ref="H7" si="4">(H2+H5)*H6/2</f>
        <v>2280</v>
      </c>
      <c r="I7" s="41">
        <f t="shared" ref="I7:J7" si="5">(I2+I5)*I6/2</f>
        <v>6650</v>
      </c>
      <c r="J7" s="41">
        <f t="shared" si="5"/>
        <v>9595</v>
      </c>
      <c r="K7" s="41">
        <f t="shared" ref="K7" si="6">(K2+K5)*K6/2</f>
        <v>4560</v>
      </c>
      <c r="L7" s="41">
        <f t="shared" ref="L7" si="7">(L2+L5)*L6/2</f>
        <v>0</v>
      </c>
      <c r="M7" s="41">
        <f t="shared" ref="M7:N7" si="8">(M2+M5)*M6/2</f>
        <v>0</v>
      </c>
      <c r="N7" s="41">
        <f t="shared" si="8"/>
        <v>0</v>
      </c>
      <c r="O7" s="41">
        <f t="shared" ref="O7" si="9">(O2+O5)*O6/2</f>
        <v>0</v>
      </c>
      <c r="P7" s="41">
        <f t="shared" ref="P7" si="10">(P2+P5)*P6/2</f>
        <v>0</v>
      </c>
      <c r="Q7" s="41">
        <f t="shared" ref="Q7:R7" si="11">(Q2+Q5)*Q6/2</f>
        <v>0</v>
      </c>
      <c r="R7" s="41">
        <f t="shared" si="11"/>
        <v>0</v>
      </c>
      <c r="S7" s="41">
        <f t="shared" ref="S7" si="12">(S2+S5)*S6/2</f>
        <v>0</v>
      </c>
      <c r="T7" s="41">
        <f t="shared" ref="T7" si="13">(T2+T5)*T6/2</f>
        <v>0</v>
      </c>
      <c r="U7" s="41">
        <f t="shared" ref="U7:V7" si="14">(U2+U5)*U6/2</f>
        <v>0</v>
      </c>
      <c r="V7" s="41">
        <f t="shared" si="14"/>
        <v>0</v>
      </c>
      <c r="W7" s="41">
        <f t="shared" ref="W7" si="15">(W2+W5)*W6/2</f>
        <v>0</v>
      </c>
      <c r="X7" s="41">
        <f t="shared" ref="X7" si="16">(X2+X5)*X6/2</f>
        <v>0</v>
      </c>
      <c r="Y7" s="41">
        <f t="shared" ref="Y7:Z7" si="17">(Y2+Y5)*Y6/2</f>
        <v>0</v>
      </c>
      <c r="Z7" s="41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tabSelected="1" topLeftCell="B1" workbookViewId="0">
      <selection activeCell="F26" sqref="F26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64</v>
      </c>
      <c r="B1" s="1" t="s">
        <v>65</v>
      </c>
      <c r="C1" s="53">
        <v>44835</v>
      </c>
      <c r="D1" s="53">
        <v>44927</v>
      </c>
      <c r="E1" s="53">
        <v>45017</v>
      </c>
      <c r="F1" s="53">
        <v>45108</v>
      </c>
      <c r="G1" s="53">
        <v>45200</v>
      </c>
      <c r="H1" s="53">
        <v>45292</v>
      </c>
      <c r="I1" s="53">
        <v>45383</v>
      </c>
      <c r="J1" s="53">
        <v>45474</v>
      </c>
      <c r="K1" s="53">
        <v>45566</v>
      </c>
      <c r="L1" s="53">
        <v>45658</v>
      </c>
      <c r="M1" s="53">
        <v>45748</v>
      </c>
      <c r="N1" s="53">
        <v>45839</v>
      </c>
      <c r="O1" s="53">
        <v>45931</v>
      </c>
      <c r="P1" s="53">
        <v>46023</v>
      </c>
      <c r="Q1" s="53">
        <v>46113</v>
      </c>
      <c r="R1" s="53">
        <v>46204</v>
      </c>
      <c r="S1" s="53">
        <v>46296</v>
      </c>
      <c r="T1" s="53">
        <v>46388</v>
      </c>
      <c r="U1" s="53">
        <v>46478</v>
      </c>
      <c r="V1" s="53">
        <v>46569</v>
      </c>
      <c r="W1" s="53">
        <v>46661</v>
      </c>
      <c r="X1" s="53">
        <v>46753</v>
      </c>
      <c r="Y1" s="53">
        <v>46844</v>
      </c>
      <c r="Z1" s="53">
        <v>46935</v>
      </c>
      <c r="AA1" s="53">
        <v>47027</v>
      </c>
    </row>
    <row r="2" spans="1:27" x14ac:dyDescent="0.2">
      <c r="A2" s="12" t="s">
        <v>22</v>
      </c>
      <c r="B2" s="12" t="s">
        <v>66</v>
      </c>
      <c r="C2" s="41">
        <v>1250</v>
      </c>
      <c r="D2" s="41">
        <v>1250</v>
      </c>
      <c r="E2" s="41">
        <v>1250</v>
      </c>
      <c r="F2" s="41">
        <v>1250</v>
      </c>
      <c r="G2" s="41">
        <v>1250</v>
      </c>
      <c r="H2" s="41">
        <v>1400</v>
      </c>
      <c r="I2" s="41">
        <v>1400</v>
      </c>
      <c r="J2" s="41">
        <v>1400</v>
      </c>
      <c r="K2" s="41">
        <v>1400</v>
      </c>
      <c r="L2" s="41">
        <v>1700</v>
      </c>
      <c r="M2" s="41">
        <v>1700</v>
      </c>
      <c r="N2" s="41">
        <v>1700</v>
      </c>
      <c r="O2" s="41">
        <v>1700</v>
      </c>
      <c r="P2" s="41">
        <v>0</v>
      </c>
      <c r="Q2" s="41">
        <f t="shared" ref="Q2:AA2" ca="1" si="0">P2*(RAND()*(1.04-1.025)+1.025)</f>
        <v>0</v>
      </c>
      <c r="R2" s="41">
        <f t="shared" ca="1" si="0"/>
        <v>0</v>
      </c>
      <c r="S2" s="41">
        <f t="shared" ca="1" si="0"/>
        <v>0</v>
      </c>
      <c r="T2" s="41">
        <f t="shared" ca="1" si="0"/>
        <v>0</v>
      </c>
      <c r="U2" s="41">
        <f t="shared" ca="1" si="0"/>
        <v>0</v>
      </c>
      <c r="V2" s="41">
        <f t="shared" ca="1" si="0"/>
        <v>0</v>
      </c>
      <c r="W2" s="41">
        <f t="shared" ca="1" si="0"/>
        <v>0</v>
      </c>
      <c r="X2" s="41">
        <f t="shared" ca="1" si="0"/>
        <v>0</v>
      </c>
      <c r="Y2" s="41">
        <f t="shared" ca="1" si="0"/>
        <v>0</v>
      </c>
      <c r="Z2" s="41">
        <f t="shared" ca="1" si="0"/>
        <v>0</v>
      </c>
      <c r="AA2" s="41">
        <f t="shared" ca="1" si="0"/>
        <v>0</v>
      </c>
    </row>
    <row r="3" spans="1:27" x14ac:dyDescent="0.2">
      <c r="A3" s="12" t="s">
        <v>22</v>
      </c>
      <c r="B3" s="12" t="s">
        <v>67</v>
      </c>
      <c r="C3" s="41">
        <v>240</v>
      </c>
      <c r="D3" s="41">
        <v>240</v>
      </c>
      <c r="E3" s="41">
        <v>240</v>
      </c>
      <c r="F3" s="41">
        <v>240</v>
      </c>
      <c r="G3" s="41">
        <v>240</v>
      </c>
      <c r="H3" s="41">
        <v>270</v>
      </c>
      <c r="I3" s="41">
        <v>270</v>
      </c>
      <c r="J3" s="41">
        <v>270</v>
      </c>
      <c r="K3" s="41">
        <v>270</v>
      </c>
      <c r="L3" s="41">
        <v>270</v>
      </c>
      <c r="M3" s="41">
        <v>270</v>
      </c>
      <c r="N3" s="41">
        <v>270</v>
      </c>
      <c r="O3" s="41">
        <v>270</v>
      </c>
      <c r="P3" s="41">
        <v>0</v>
      </c>
      <c r="Q3" s="41">
        <f t="shared" ref="Q3:AA4" ca="1" si="1">P3*(RAND()*(1.15-0.93)+0.93)</f>
        <v>0</v>
      </c>
      <c r="R3" s="41">
        <f t="shared" ca="1" si="1"/>
        <v>0</v>
      </c>
      <c r="S3" s="41">
        <f t="shared" ca="1" si="1"/>
        <v>0</v>
      </c>
      <c r="T3" s="41">
        <f t="shared" ca="1" si="1"/>
        <v>0</v>
      </c>
      <c r="U3" s="41">
        <f t="shared" ca="1" si="1"/>
        <v>0</v>
      </c>
      <c r="V3" s="41">
        <f t="shared" ca="1" si="1"/>
        <v>0</v>
      </c>
      <c r="W3" s="41">
        <f t="shared" ca="1" si="1"/>
        <v>0</v>
      </c>
      <c r="X3" s="41">
        <f t="shared" ca="1" si="1"/>
        <v>0</v>
      </c>
      <c r="Y3" s="41">
        <f t="shared" ca="1" si="1"/>
        <v>0</v>
      </c>
      <c r="Z3" s="41">
        <f t="shared" ca="1" si="1"/>
        <v>0</v>
      </c>
      <c r="AA3" s="41">
        <f t="shared" ca="1" si="1"/>
        <v>0</v>
      </c>
    </row>
    <row r="4" spans="1:27" x14ac:dyDescent="0.2">
      <c r="A4" s="12" t="s">
        <v>22</v>
      </c>
      <c r="B4" s="12" t="s">
        <v>68</v>
      </c>
      <c r="C4" s="41">
        <v>3100</v>
      </c>
      <c r="D4" s="41">
        <v>3100</v>
      </c>
      <c r="E4" s="41">
        <v>3100</v>
      </c>
      <c r="F4" s="41">
        <v>3100</v>
      </c>
      <c r="G4" s="41">
        <v>3100</v>
      </c>
      <c r="H4" s="41">
        <v>4500</v>
      </c>
      <c r="I4" s="41">
        <v>4500</v>
      </c>
      <c r="J4" s="41">
        <v>4500</v>
      </c>
      <c r="K4" s="41">
        <v>4500</v>
      </c>
      <c r="L4" s="41">
        <v>5300</v>
      </c>
      <c r="M4" s="41">
        <v>5900</v>
      </c>
      <c r="N4" s="41">
        <v>6200</v>
      </c>
      <c r="O4" s="41">
        <v>6900</v>
      </c>
      <c r="P4" s="41">
        <v>0</v>
      </c>
      <c r="Q4" s="41">
        <f t="shared" ca="1" si="1"/>
        <v>0</v>
      </c>
      <c r="R4" s="41">
        <f t="shared" ca="1" si="1"/>
        <v>0</v>
      </c>
      <c r="S4" s="41">
        <f t="shared" ca="1" si="1"/>
        <v>0</v>
      </c>
      <c r="T4" s="41">
        <f t="shared" ca="1" si="1"/>
        <v>0</v>
      </c>
      <c r="U4" s="41">
        <f t="shared" ca="1" si="1"/>
        <v>0</v>
      </c>
      <c r="V4" s="41">
        <f t="shared" ca="1" si="1"/>
        <v>0</v>
      </c>
      <c r="W4" s="41">
        <f t="shared" ca="1" si="1"/>
        <v>0</v>
      </c>
      <c r="X4" s="41">
        <f t="shared" ca="1" si="1"/>
        <v>0</v>
      </c>
      <c r="Y4" s="41">
        <f t="shared" ca="1" si="1"/>
        <v>0</v>
      </c>
      <c r="Z4" s="41">
        <f t="shared" ca="1" si="1"/>
        <v>0</v>
      </c>
      <c r="AA4" s="41">
        <f t="shared" ca="1" si="1"/>
        <v>0</v>
      </c>
    </row>
    <row r="5" spans="1:27" x14ac:dyDescent="0.2">
      <c r="A5" s="12" t="s">
        <v>22</v>
      </c>
      <c r="B5" s="12" t="s">
        <v>69</v>
      </c>
      <c r="C5" s="41">
        <v>140</v>
      </c>
      <c r="D5" s="41">
        <v>140</v>
      </c>
      <c r="E5" s="41">
        <v>140</v>
      </c>
      <c r="F5" s="41">
        <v>140</v>
      </c>
      <c r="G5" s="41">
        <v>140</v>
      </c>
      <c r="H5" s="41">
        <v>140</v>
      </c>
      <c r="I5" s="41">
        <v>140</v>
      </c>
      <c r="J5" s="41">
        <v>140</v>
      </c>
      <c r="K5" s="41">
        <v>140</v>
      </c>
      <c r="L5" s="41">
        <v>160</v>
      </c>
      <c r="M5" s="41">
        <v>160.55219753626932</v>
      </c>
      <c r="N5" s="41">
        <v>160.55219753626932</v>
      </c>
      <c r="O5" s="41">
        <v>160.55219753626932</v>
      </c>
      <c r="P5" s="41">
        <v>0</v>
      </c>
      <c r="Q5" s="41">
        <f t="shared" ref="Q5:AA5" ca="1" si="2">P5*(RAND()*(1.05-1.1)+1.05)</f>
        <v>0</v>
      </c>
      <c r="R5" s="41">
        <f t="shared" ca="1" si="2"/>
        <v>0</v>
      </c>
      <c r="S5" s="41">
        <f t="shared" ca="1" si="2"/>
        <v>0</v>
      </c>
      <c r="T5" s="41">
        <f t="shared" ca="1" si="2"/>
        <v>0</v>
      </c>
      <c r="U5" s="41">
        <f t="shared" ca="1" si="2"/>
        <v>0</v>
      </c>
      <c r="V5" s="41">
        <f t="shared" ca="1" si="2"/>
        <v>0</v>
      </c>
      <c r="W5" s="41">
        <f t="shared" ca="1" si="2"/>
        <v>0</v>
      </c>
      <c r="X5" s="41">
        <f t="shared" ca="1" si="2"/>
        <v>0</v>
      </c>
      <c r="Y5" s="41">
        <f t="shared" ca="1" si="2"/>
        <v>0</v>
      </c>
      <c r="Z5" s="41">
        <f t="shared" ca="1" si="2"/>
        <v>0</v>
      </c>
      <c r="AA5" s="41">
        <f t="shared" ca="1" si="2"/>
        <v>0</v>
      </c>
    </row>
    <row r="6" spans="1:27" x14ac:dyDescent="0.2">
      <c r="A6" s="12" t="s">
        <v>22</v>
      </c>
      <c r="B6" s="12" t="s">
        <v>70</v>
      </c>
      <c r="C6" s="41">
        <v>450</v>
      </c>
      <c r="D6" s="41">
        <v>450</v>
      </c>
      <c r="E6" s="41">
        <v>450</v>
      </c>
      <c r="F6" s="41">
        <v>450</v>
      </c>
      <c r="G6" s="41">
        <v>450</v>
      </c>
      <c r="H6" s="41">
        <v>550</v>
      </c>
      <c r="I6" s="41">
        <v>550</v>
      </c>
      <c r="J6" s="41">
        <v>550</v>
      </c>
      <c r="K6" s="41">
        <v>550</v>
      </c>
      <c r="L6" s="41">
        <v>600</v>
      </c>
      <c r="M6" s="41">
        <v>600</v>
      </c>
      <c r="N6" s="41">
        <v>600</v>
      </c>
      <c r="O6" s="41">
        <v>600</v>
      </c>
      <c r="P6" s="41">
        <v>0</v>
      </c>
      <c r="Q6" s="41">
        <f t="shared" ref="Q6:AA6" ca="1" si="3">P6*(RAND()*(1.05-1.01)+1.01)</f>
        <v>0</v>
      </c>
      <c r="R6" s="41">
        <f t="shared" ca="1" si="3"/>
        <v>0</v>
      </c>
      <c r="S6" s="41">
        <f t="shared" ca="1" si="3"/>
        <v>0</v>
      </c>
      <c r="T6" s="41">
        <f t="shared" ca="1" si="3"/>
        <v>0</v>
      </c>
      <c r="U6" s="41">
        <f t="shared" ca="1" si="3"/>
        <v>0</v>
      </c>
      <c r="V6" s="41">
        <f t="shared" ca="1" si="3"/>
        <v>0</v>
      </c>
      <c r="W6" s="41">
        <f t="shared" ca="1" si="3"/>
        <v>0</v>
      </c>
      <c r="X6" s="41">
        <f t="shared" ca="1" si="3"/>
        <v>0</v>
      </c>
      <c r="Y6" s="41">
        <f t="shared" ca="1" si="3"/>
        <v>0</v>
      </c>
      <c r="Z6" s="41">
        <f t="shared" ca="1" si="3"/>
        <v>0</v>
      </c>
      <c r="AA6" s="41">
        <f t="shared" ca="1" si="3"/>
        <v>0</v>
      </c>
    </row>
    <row r="7" spans="1:27" x14ac:dyDescent="0.2">
      <c r="A7" s="12" t="s">
        <v>22</v>
      </c>
      <c r="B7" s="12" t="s">
        <v>71</v>
      </c>
      <c r="C7" s="41">
        <v>64.12</v>
      </c>
      <c r="D7" s="41">
        <v>64.12</v>
      </c>
      <c r="E7" s="41">
        <v>64.12</v>
      </c>
      <c r="F7" s="41">
        <v>64.12</v>
      </c>
      <c r="G7" s="41">
        <v>64.12</v>
      </c>
      <c r="H7" s="41">
        <v>64.12</v>
      </c>
      <c r="I7" s="41">
        <v>64.12</v>
      </c>
      <c r="J7" s="41">
        <v>64.12</v>
      </c>
      <c r="K7" s="41">
        <v>64.12</v>
      </c>
      <c r="L7" s="41">
        <v>64.12</v>
      </c>
      <c r="M7" s="41">
        <v>64.12</v>
      </c>
      <c r="N7" s="41">
        <v>64.12</v>
      </c>
      <c r="O7" s="41">
        <v>64.12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</row>
    <row r="8" spans="1:27" x14ac:dyDescent="0.2">
      <c r="A8" s="12" t="s">
        <v>23</v>
      </c>
      <c r="B8" s="12" t="s">
        <v>66</v>
      </c>
      <c r="C8" s="41">
        <v>650</v>
      </c>
      <c r="D8" s="41">
        <v>650</v>
      </c>
      <c r="E8" s="41">
        <v>650</v>
      </c>
      <c r="F8" s="41">
        <v>650</v>
      </c>
      <c r="G8" s="41">
        <v>650</v>
      </c>
      <c r="H8" s="41">
        <v>750</v>
      </c>
      <c r="I8" s="41">
        <v>750</v>
      </c>
      <c r="J8" s="41">
        <v>750</v>
      </c>
      <c r="K8" s="41">
        <v>750</v>
      </c>
      <c r="L8" s="41">
        <v>830</v>
      </c>
      <c r="M8" s="41">
        <v>830</v>
      </c>
      <c r="N8" s="41">
        <v>830</v>
      </c>
      <c r="O8" s="41">
        <v>830</v>
      </c>
      <c r="P8" s="41">
        <v>0</v>
      </c>
      <c r="Q8" s="41">
        <f t="shared" ref="Q8:AA8" ca="1" si="4">P8*(RAND()*(1.04-1.025)+1.025)</f>
        <v>0</v>
      </c>
      <c r="R8" s="41">
        <f t="shared" ca="1" si="4"/>
        <v>0</v>
      </c>
      <c r="S8" s="41">
        <f t="shared" ca="1" si="4"/>
        <v>0</v>
      </c>
      <c r="T8" s="41">
        <f t="shared" ca="1" si="4"/>
        <v>0</v>
      </c>
      <c r="U8" s="41">
        <f t="shared" ca="1" si="4"/>
        <v>0</v>
      </c>
      <c r="V8" s="41">
        <f t="shared" ca="1" si="4"/>
        <v>0</v>
      </c>
      <c r="W8" s="41">
        <f t="shared" ca="1" si="4"/>
        <v>0</v>
      </c>
      <c r="X8" s="41">
        <f t="shared" ca="1" si="4"/>
        <v>0</v>
      </c>
      <c r="Y8" s="41">
        <f t="shared" ca="1" si="4"/>
        <v>0</v>
      </c>
      <c r="Z8" s="41">
        <f t="shared" ca="1" si="4"/>
        <v>0</v>
      </c>
      <c r="AA8" s="41">
        <f t="shared" ca="1" si="4"/>
        <v>0</v>
      </c>
    </row>
    <row r="9" spans="1:27" x14ac:dyDescent="0.2">
      <c r="A9" s="12" t="s">
        <v>23</v>
      </c>
      <c r="B9" s="12" t="s">
        <v>67</v>
      </c>
      <c r="C9" s="41">
        <f>'Cash Flow Statement_Budget'!B3*0.003</f>
        <v>385.80014922061724</v>
      </c>
      <c r="D9" s="41">
        <v>733.68749605800008</v>
      </c>
      <c r="E9" s="41">
        <v>965.50834941599987</v>
      </c>
      <c r="F9" s="41">
        <v>755.10175226399997</v>
      </c>
      <c r="G9" s="41">
        <v>648.81721488000017</v>
      </c>
      <c r="H9" s="41">
        <v>866.55734519999999</v>
      </c>
      <c r="I9" s="41">
        <v>957.69059879999998</v>
      </c>
      <c r="J9" s="41">
        <v>828.30601379999996</v>
      </c>
      <c r="K9" s="41">
        <v>608.79067508555295</v>
      </c>
      <c r="L9" s="41">
        <v>977.54154885360003</v>
      </c>
      <c r="M9" s="41">
        <v>1315.0039020013139</v>
      </c>
      <c r="N9" s="41">
        <v>856.92771477797896</v>
      </c>
      <c r="O9" s="41">
        <v>772.57751519999999</v>
      </c>
      <c r="P9" s="41">
        <f>'[1]Cash Flow Statement_Actual'!O3*0.003</f>
        <v>0</v>
      </c>
      <c r="Q9" s="41">
        <f>'[1]Cash Flow Statement_Actual'!P3*0.003</f>
        <v>0</v>
      </c>
      <c r="R9" s="41">
        <f>'[1]Cash Flow Statement_Actual'!Q3*0.003</f>
        <v>0</v>
      </c>
      <c r="S9" s="41">
        <f>'[1]Cash Flow Statement_Actual'!R3*0.003</f>
        <v>0</v>
      </c>
      <c r="T9" s="41">
        <f>'[1]Cash Flow Statement_Actual'!S3*0.003</f>
        <v>0</v>
      </c>
      <c r="U9" s="41">
        <f>'[1]Cash Flow Statement_Actual'!T3*0.003</f>
        <v>0</v>
      </c>
      <c r="V9" s="41">
        <f>'[1]Cash Flow Statement_Actual'!U3*0.003</f>
        <v>0</v>
      </c>
      <c r="W9" s="41">
        <f>'[1]Cash Flow Statement_Actual'!V3*0.003</f>
        <v>0</v>
      </c>
      <c r="X9" s="41">
        <f>'[1]Cash Flow Statement_Actual'!W3*0.003</f>
        <v>0</v>
      </c>
      <c r="Y9" s="41">
        <f>'[1]Cash Flow Statement_Actual'!X3*0.003</f>
        <v>0</v>
      </c>
      <c r="Z9" s="41">
        <f>'[1]Cash Flow Statement_Actual'!Y3*0.003</f>
        <v>0</v>
      </c>
      <c r="AA9" s="41">
        <f>'[1]Cash Flow Statement_Actual'!Z3*0.003</f>
        <v>0</v>
      </c>
    </row>
    <row r="10" spans="1:27" x14ac:dyDescent="0.2">
      <c r="A10" s="12" t="s">
        <v>23</v>
      </c>
      <c r="B10" s="12" t="s">
        <v>72</v>
      </c>
      <c r="C10" s="41">
        <v>248.6</v>
      </c>
      <c r="D10" s="41">
        <v>248.6</v>
      </c>
      <c r="E10" s="41">
        <v>248.6</v>
      </c>
      <c r="F10" s="41">
        <v>248.6</v>
      </c>
      <c r="G10" s="41">
        <v>248.6</v>
      </c>
      <c r="H10" s="41">
        <v>248.6</v>
      </c>
      <c r="I10" s="41">
        <v>248.6</v>
      </c>
      <c r="J10" s="41">
        <v>248.6</v>
      </c>
      <c r="K10" s="41">
        <v>248.6</v>
      </c>
      <c r="L10" s="41">
        <v>248.6</v>
      </c>
      <c r="M10" s="41">
        <v>248.6</v>
      </c>
      <c r="N10" s="41">
        <v>248.6</v>
      </c>
      <c r="O10" s="41">
        <v>248.6</v>
      </c>
      <c r="P10" s="41">
        <v>0</v>
      </c>
      <c r="Q10" s="41">
        <f t="shared" ref="Q10:AA10" ca="1" si="5">P10*(RAND()*(1.04-1.025)+1.025)</f>
        <v>0</v>
      </c>
      <c r="R10" s="41">
        <f t="shared" ca="1" si="5"/>
        <v>0</v>
      </c>
      <c r="S10" s="41">
        <f t="shared" ca="1" si="5"/>
        <v>0</v>
      </c>
      <c r="T10" s="41">
        <f t="shared" ca="1" si="5"/>
        <v>0</v>
      </c>
      <c r="U10" s="41">
        <f t="shared" ca="1" si="5"/>
        <v>0</v>
      </c>
      <c r="V10" s="41">
        <f t="shared" ca="1" si="5"/>
        <v>0</v>
      </c>
      <c r="W10" s="41">
        <f t="shared" ca="1" si="5"/>
        <v>0</v>
      </c>
      <c r="X10" s="41">
        <f t="shared" ca="1" si="5"/>
        <v>0</v>
      </c>
      <c r="Y10" s="41">
        <f t="shared" ca="1" si="5"/>
        <v>0</v>
      </c>
      <c r="Z10" s="41">
        <f t="shared" ca="1" si="5"/>
        <v>0</v>
      </c>
      <c r="AA10" s="41">
        <f t="shared" ca="1" si="5"/>
        <v>0</v>
      </c>
    </row>
    <row r="11" spans="1:27" x14ac:dyDescent="0.2">
      <c r="A11" s="12" t="s">
        <v>23</v>
      </c>
      <c r="B11" s="12" t="s">
        <v>73</v>
      </c>
      <c r="C11" s="41">
        <v>90</v>
      </c>
      <c r="D11" s="41">
        <v>90</v>
      </c>
      <c r="E11" s="41">
        <v>90</v>
      </c>
      <c r="F11" s="41">
        <v>90</v>
      </c>
      <c r="G11" s="41">
        <v>90</v>
      </c>
      <c r="H11" s="41">
        <v>120</v>
      </c>
      <c r="I11" s="41">
        <v>120</v>
      </c>
      <c r="J11" s="41">
        <v>120</v>
      </c>
      <c r="K11" s="41">
        <v>120</v>
      </c>
      <c r="L11" s="41">
        <v>140</v>
      </c>
      <c r="M11" s="41">
        <v>140</v>
      </c>
      <c r="N11" s="41">
        <v>140</v>
      </c>
      <c r="O11" s="41">
        <v>140</v>
      </c>
      <c r="P11" s="41">
        <v>0</v>
      </c>
      <c r="Q11" s="41">
        <v>0</v>
      </c>
      <c r="R11" s="41">
        <v>0</v>
      </c>
      <c r="S11" s="41">
        <v>0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  <c r="Y11" s="41">
        <v>0</v>
      </c>
      <c r="Z11" s="41">
        <v>0</v>
      </c>
      <c r="AA11" s="41">
        <v>0</v>
      </c>
    </row>
    <row r="12" spans="1:27" x14ac:dyDescent="0.2">
      <c r="A12" s="12" t="s">
        <v>23</v>
      </c>
      <c r="B12" s="12" t="s">
        <v>74</v>
      </c>
      <c r="C12" s="41">
        <v>10000</v>
      </c>
      <c r="D12" s="41">
        <v>20000</v>
      </c>
      <c r="E12" s="41">
        <v>20000</v>
      </c>
      <c r="F12" s="41">
        <v>17000</v>
      </c>
      <c r="G12" s="41">
        <v>15000</v>
      </c>
      <c r="H12" s="41">
        <v>24000</v>
      </c>
      <c r="I12" s="41">
        <v>23000</v>
      </c>
      <c r="J12" s="41">
        <v>18000</v>
      </c>
      <c r="K12" s="41">
        <v>9000</v>
      </c>
      <c r="L12" s="41">
        <v>27000</v>
      </c>
      <c r="M12" s="41">
        <v>25000</v>
      </c>
      <c r="N12" s="41">
        <v>19000</v>
      </c>
      <c r="O12" s="41">
        <v>16000</v>
      </c>
      <c r="P12" s="41">
        <v>0</v>
      </c>
      <c r="Q12" s="41">
        <v>0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</row>
    <row r="13" spans="1:27" x14ac:dyDescent="0.2">
      <c r="A13" s="12" t="s">
        <v>23</v>
      </c>
      <c r="B13" s="12" t="s">
        <v>75</v>
      </c>
      <c r="C13" s="41">
        <v>200</v>
      </c>
      <c r="D13" s="41">
        <v>200</v>
      </c>
      <c r="E13" s="41">
        <v>200</v>
      </c>
      <c r="F13" s="41">
        <v>200</v>
      </c>
      <c r="G13" s="41">
        <v>200</v>
      </c>
      <c r="H13" s="41">
        <v>200</v>
      </c>
      <c r="I13" s="41">
        <v>200</v>
      </c>
      <c r="J13" s="41">
        <v>200</v>
      </c>
      <c r="K13" s="41">
        <v>200</v>
      </c>
      <c r="L13" s="41">
        <v>200</v>
      </c>
      <c r="M13" s="41">
        <v>200</v>
      </c>
      <c r="N13" s="41">
        <v>200</v>
      </c>
      <c r="O13" s="41">
        <v>200</v>
      </c>
      <c r="P13" s="41">
        <v>0</v>
      </c>
      <c r="Q13" s="41">
        <v>0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</row>
    <row r="14" spans="1:27" x14ac:dyDescent="0.2">
      <c r="A14" s="12" t="s">
        <v>24</v>
      </c>
      <c r="B14" s="12" t="s">
        <v>76</v>
      </c>
      <c r="C14" s="41">
        <v>2000</v>
      </c>
      <c r="D14" s="41">
        <v>2000</v>
      </c>
      <c r="E14" s="41">
        <v>2000</v>
      </c>
      <c r="F14" s="41">
        <v>2000</v>
      </c>
      <c r="G14" s="41">
        <v>2000</v>
      </c>
      <c r="H14" s="41">
        <v>2000</v>
      </c>
      <c r="I14" s="41">
        <v>2000</v>
      </c>
      <c r="J14" s="41">
        <v>2000</v>
      </c>
      <c r="K14" s="41">
        <v>2000</v>
      </c>
      <c r="L14" s="41">
        <v>2000</v>
      </c>
      <c r="M14" s="41">
        <v>2000</v>
      </c>
      <c r="N14" s="41">
        <v>2000</v>
      </c>
      <c r="O14" s="41">
        <v>2000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  <c r="AA14" s="41">
        <v>0</v>
      </c>
    </row>
    <row r="15" spans="1:27" x14ac:dyDescent="0.2">
      <c r="A15" s="12" t="s">
        <v>24</v>
      </c>
      <c r="B15" s="12" t="s">
        <v>77</v>
      </c>
      <c r="C15" s="41">
        <v>4000</v>
      </c>
      <c r="D15" s="41">
        <v>4000</v>
      </c>
      <c r="E15" s="41">
        <v>4000</v>
      </c>
      <c r="F15" s="41">
        <v>4000</v>
      </c>
      <c r="G15" s="41">
        <v>4000</v>
      </c>
      <c r="H15" s="41">
        <v>4000</v>
      </c>
      <c r="I15" s="41">
        <v>4000</v>
      </c>
      <c r="J15" s="41">
        <v>4000</v>
      </c>
      <c r="K15" s="41">
        <v>4000</v>
      </c>
      <c r="L15" s="41">
        <v>4000</v>
      </c>
      <c r="M15" s="41">
        <v>4000</v>
      </c>
      <c r="N15" s="41">
        <v>4000</v>
      </c>
      <c r="O15" s="41">
        <v>4000</v>
      </c>
      <c r="P15" s="41">
        <v>0</v>
      </c>
      <c r="Q15" s="41">
        <v>0</v>
      </c>
      <c r="R15" s="41">
        <v>0</v>
      </c>
      <c r="S15" s="41">
        <v>0</v>
      </c>
      <c r="T15" s="41">
        <v>0</v>
      </c>
      <c r="U15" s="41">
        <v>0</v>
      </c>
      <c r="V15" s="41">
        <v>0</v>
      </c>
      <c r="W15" s="41">
        <v>0</v>
      </c>
      <c r="X15" s="41">
        <v>0</v>
      </c>
      <c r="Y15" s="41">
        <v>0</v>
      </c>
      <c r="Z15" s="41">
        <v>0</v>
      </c>
      <c r="AA15" s="41">
        <v>0</v>
      </c>
    </row>
    <row r="16" spans="1:27" x14ac:dyDescent="0.2">
      <c r="A16" s="12" t="s">
        <v>24</v>
      </c>
      <c r="B16" s="12" t="s">
        <v>78</v>
      </c>
      <c r="C16" s="41">
        <v>3000</v>
      </c>
      <c r="D16" s="41">
        <v>3000</v>
      </c>
      <c r="E16" s="41">
        <v>3000</v>
      </c>
      <c r="F16" s="41">
        <v>3000</v>
      </c>
      <c r="G16" s="41">
        <v>3000</v>
      </c>
      <c r="H16" s="41">
        <v>3000</v>
      </c>
      <c r="I16" s="41">
        <v>3000</v>
      </c>
      <c r="J16" s="41">
        <v>3000</v>
      </c>
      <c r="K16" s="41">
        <v>3000</v>
      </c>
      <c r="L16" s="41">
        <v>3000</v>
      </c>
      <c r="M16" s="41">
        <v>3000</v>
      </c>
      <c r="N16" s="41">
        <v>3000</v>
      </c>
      <c r="O16" s="41">
        <v>3000</v>
      </c>
      <c r="P16" s="41">
        <v>0</v>
      </c>
      <c r="Q16" s="41">
        <v>0</v>
      </c>
      <c r="R16" s="41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1">
        <v>0</v>
      </c>
      <c r="Y16" s="41">
        <v>0</v>
      </c>
      <c r="Z16" s="41">
        <v>0</v>
      </c>
      <c r="AA16" s="41">
        <v>0</v>
      </c>
    </row>
    <row r="17" spans="1:27" x14ac:dyDescent="0.2">
      <c r="A17" s="12" t="s">
        <v>24</v>
      </c>
      <c r="B17" s="12" t="s">
        <v>79</v>
      </c>
      <c r="C17" s="41">
        <v>1000</v>
      </c>
      <c r="D17" s="41">
        <v>1000</v>
      </c>
      <c r="E17" s="41">
        <v>1000</v>
      </c>
      <c r="F17" s="41">
        <v>1000</v>
      </c>
      <c r="G17" s="41">
        <v>1000</v>
      </c>
      <c r="H17" s="41">
        <v>1000</v>
      </c>
      <c r="I17" s="41">
        <v>1100</v>
      </c>
      <c r="J17" s="41">
        <v>1100</v>
      </c>
      <c r="K17" s="41">
        <v>1200</v>
      </c>
      <c r="L17" s="41">
        <v>1200</v>
      </c>
      <c r="M17" s="41">
        <v>1200</v>
      </c>
      <c r="N17" s="41">
        <v>1300</v>
      </c>
      <c r="O17" s="41">
        <v>1300</v>
      </c>
      <c r="P17" s="41">
        <v>0</v>
      </c>
      <c r="Q17" s="41">
        <v>0</v>
      </c>
      <c r="R17" s="41">
        <v>0</v>
      </c>
      <c r="S17" s="41">
        <v>0</v>
      </c>
      <c r="T17" s="41">
        <v>0</v>
      </c>
      <c r="U17" s="41">
        <v>0</v>
      </c>
      <c r="V17" s="41">
        <v>0</v>
      </c>
      <c r="W17" s="41">
        <v>0</v>
      </c>
      <c r="X17" s="41">
        <v>0</v>
      </c>
      <c r="Y17" s="41">
        <v>0</v>
      </c>
      <c r="Z17" s="41">
        <v>0</v>
      </c>
      <c r="AA17" s="4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Cash Flow Statement_Budget</vt:lpstr>
      <vt:lpstr>Sales_Budget</vt:lpstr>
      <vt:lpstr>COGS_Budget</vt:lpstr>
      <vt:lpstr>Working Capital_Budget</vt:lpstr>
      <vt:lpstr>CapEx_Budget</vt:lpstr>
      <vt:lpstr>Debt Schedule_Budget</vt:lpstr>
      <vt:lpstr>OPEX_Budget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2026-06-30T09:51:31Z</dcterms:modified>
</cp:coreProperties>
</file>