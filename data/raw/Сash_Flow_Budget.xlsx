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25" yWindow="-125" windowWidth="29038" windowHeight="15715" tabRatio="924" activeTab="5"/>
  </bookViews>
  <sheets>
    <sheet name="Cash Flow Statement_Budget" sheetId="1" r:id="rId1"/>
    <sheet name="Sales_Budget (2)" sheetId="37" r:id="rId2"/>
    <sheet name="Sales_Budget" sheetId="2" r:id="rId3"/>
    <sheet name="COGS_Budget_SQL" sheetId="36" r:id="rId4"/>
    <sheet name="COGS_Budget" sheetId="26" r:id="rId5"/>
    <sheet name="Working Capital_Budget" sheetId="34" r:id="rId6"/>
    <sheet name="CapEx_Budget" sheetId="3" r:id="rId7"/>
    <sheet name="Debt Schedule_Budget" sheetId="6" r:id="rId8"/>
    <sheet name="OPEX_Budget" sheetId="35" r:id="rId9"/>
  </sheets>
  <externalReferences>
    <externalReference r:id="rId10"/>
  </externalReferences>
  <definedNames>
    <definedName name="ExternalData_1" localSheetId="3" hidden="1">COGS_Budget_SQL!$A$1:$F$226</definedName>
    <definedName name="ExternalData_1" localSheetId="1" hidden="1">'Sales_Budget (2)'!$A$1:$H$109</definedName>
  </definedNames>
  <calcPr calcId="162913"/>
</workbook>
</file>

<file path=xl/calcChain.xml><?xml version="1.0" encoding="utf-8"?>
<calcChain xmlns="http://schemas.openxmlformats.org/spreadsheetml/2006/main">
  <c r="Q10" i="35" l="1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B3" i="3" l="1"/>
  <c r="C2" i="3" s="1"/>
  <c r="C3" i="3" s="1"/>
  <c r="D2" i="3" s="1"/>
  <c r="D3" i="3" s="1"/>
  <c r="E2" i="3" s="1"/>
  <c r="E3" i="3" s="1"/>
  <c r="F2" i="3" s="1"/>
  <c r="F3" i="3" s="1"/>
  <c r="G2" i="3" s="1"/>
  <c r="G3" i="3" s="1"/>
  <c r="H2" i="3" s="1"/>
  <c r="H3" i="3" s="1"/>
  <c r="I2" i="3" s="1"/>
  <c r="I3" i="3" s="1"/>
  <c r="J2" i="3" s="1"/>
  <c r="J3" i="3" s="1"/>
  <c r="K2" i="3" s="1"/>
  <c r="K3" i="3" s="1"/>
  <c r="L2" i="3" s="1"/>
  <c r="L3" i="3" s="1"/>
  <c r="M2" i="3" s="1"/>
  <c r="M3" i="3" s="1"/>
  <c r="N2" i="3" s="1"/>
  <c r="N3" i="3" s="1"/>
  <c r="C4" i="3"/>
  <c r="C5" i="3" s="1"/>
  <c r="D4" i="3" s="1"/>
  <c r="D5" i="3" s="1"/>
  <c r="E4" i="3" s="1"/>
  <c r="E5" i="3" s="1"/>
  <c r="F4" i="3" s="1"/>
  <c r="F5" i="3" s="1"/>
  <c r="G4" i="3" s="1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5" i="3" l="1"/>
  <c r="H4" i="3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C2" i="6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J38" i="2" l="1"/>
  <c r="C5" i="6"/>
  <c r="C7" i="6" s="1"/>
  <c r="C12" i="1" s="1"/>
  <c r="N38" i="2"/>
  <c r="M38" i="2"/>
  <c r="L38" i="2"/>
  <c r="I38" i="2"/>
  <c r="K38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8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8" i="2" s="1"/>
  <c r="R3" i="1" s="1"/>
  <c r="R5" i="1" s="1"/>
  <c r="R15" i="1" s="1"/>
  <c r="R16" i="1" s="1"/>
  <c r="R17" i="1" s="1"/>
  <c r="Q17" i="2"/>
  <c r="Q38" i="2" s="1"/>
  <c r="Q3" i="1" s="1"/>
  <c r="Q5" i="1" s="1"/>
  <c r="Q15" i="1" s="1"/>
  <c r="Q16" i="1" s="1"/>
  <c r="Q17" i="1" s="1"/>
  <c r="P17" i="2"/>
  <c r="P38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8" i="2" l="1"/>
  <c r="T3" i="1" s="1"/>
  <c r="T5" i="1" s="1"/>
  <c r="T15" i="1" s="1"/>
  <c r="T16" i="1" s="1"/>
  <c r="T17" i="1" s="1"/>
  <c r="T21" i="1" s="1"/>
  <c r="V38" i="2"/>
  <c r="V3" i="1" s="1"/>
  <c r="V5" i="1" s="1"/>
  <c r="V15" i="1" s="1"/>
  <c r="V16" i="1" s="1"/>
  <c r="V17" i="1" s="1"/>
  <c r="V21" i="1" s="1"/>
  <c r="U38" i="2"/>
  <c r="U3" i="1" s="1"/>
  <c r="U5" i="1" s="1"/>
  <c r="U15" i="1" s="1"/>
  <c r="U16" i="1" s="1"/>
  <c r="U17" i="1" s="1"/>
  <c r="U21" i="1" s="1"/>
  <c r="T32" i="1" l="1"/>
  <c r="T33" i="1" s="1"/>
  <c r="X38" i="2"/>
  <c r="X3" i="1" s="1"/>
  <c r="X5" i="1" s="1"/>
  <c r="X15" i="1" s="1"/>
  <c r="X16" i="1" s="1"/>
  <c r="X17" i="1" s="1"/>
  <c r="X21" i="1" s="1"/>
  <c r="Y38" i="2"/>
  <c r="Y3" i="1" s="1"/>
  <c r="Y5" i="1" s="1"/>
  <c r="Y15" i="1" s="1"/>
  <c r="Y16" i="1" s="1"/>
  <c r="Y17" i="1" s="1"/>
  <c r="Y21" i="1" s="1"/>
  <c r="Z38" i="2"/>
  <c r="Z3" i="1" s="1"/>
  <c r="Z5" i="1" s="1"/>
  <c r="Z15" i="1" s="1"/>
  <c r="Z16" i="1" s="1"/>
  <c r="Z17" i="1" s="1"/>
  <c r="Z21" i="1" s="1"/>
  <c r="X32" i="1" l="1"/>
  <c r="X33" i="1" s="1"/>
  <c r="O4" i="1" l="1"/>
  <c r="O38" i="2" l="1"/>
  <c r="O3" i="1" l="1"/>
  <c r="O5" i="1" s="1"/>
  <c r="S38" i="2"/>
  <c r="S3" i="1" s="1"/>
  <c r="S5" i="1" s="1"/>
  <c r="S15" i="1" s="1"/>
  <c r="S16" i="1" s="1"/>
  <c r="S17" i="1" s="1"/>
  <c r="S21" i="1" s="1"/>
  <c r="W38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8" i="2"/>
  <c r="B3" i="1" s="1"/>
  <c r="C9" i="35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8" i="2"/>
  <c r="C3" i="1" s="1"/>
  <c r="F36" i="26"/>
  <c r="F4" i="1" s="1"/>
  <c r="G38" i="2"/>
  <c r="G3" i="1" s="1"/>
  <c r="E38" i="2"/>
  <c r="E3" i="1" s="1"/>
  <c r="D38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8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connections.xml><?xml version="1.0" encoding="utf-8"?>
<connections xmlns="http://schemas.openxmlformats.org/spreadsheetml/2006/main">
  <connection id="1" keepAlive="1" name="Query - COGS_Budget" description="Connection to the 'COGS_Budget' query in the workbook." type="5" refreshedVersion="8" background="1" saveData="1">
    <dbPr connection="Provider=Microsoft.Mashup.OleDb.1;Data Source=$Workbook$;Location=COGS_Budget;Extended Properties=&quot;&quot;" command="SELECT * FROM [COGS_Budget]"/>
  </connection>
  <connection id="2" keepAlive="1" name="Query - Sales_Budget" description="Connection to the 'Sales_Budget' query in the workbook." type="5" refreshedVersion="8" background="1" saveData="1">
    <dbPr connection="Provider=Microsoft.Mashup.OleDb.1;Data Source=$Workbook$;Location=Sales_Budget;Extended Properties=&quot;&quot;" command="SELECT * FROM [Sales_Budget]"/>
  </connection>
</connections>
</file>

<file path=xl/sharedStrings.xml><?xml version="1.0" encoding="utf-8"?>
<sst xmlns="http://schemas.openxmlformats.org/spreadsheetml/2006/main" count="1289" uniqueCount="94">
  <si>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</si>
  <si>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</si>
  <si>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</si>
  <si>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</si>
  <si>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</si>
  <si>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</si>
  <si>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</si>
  <si>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</si>
  <si>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</si>
  <si>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</si>
  <si>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</si>
  <si>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</si>
  <si>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</si>
  <si>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</si>
  <si>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</si>
  <si>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</si>
  <si>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</si>
  <si>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</si>
  <si>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</si>
  <si>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</si>
  <si>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</si>
  <si>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</si>
  <si>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</si>
  <si>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</si>
  <si>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</si>
  <si>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</si>
  <si>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</si>
  <si>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</si>
  <si>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</si>
  <si>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</si>
  <si>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</si>
  <si>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</si>
  <si>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</si>
  <si>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</si>
  <si>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</si>
  <si>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</si>
  <si>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</si>
  <si>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</si>
  <si>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</si>
  <si>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</si>
  <si>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</si>
  <si>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</si>
  <si>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</si>
  <si>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</si>
  <si>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</si>
  <si>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</si>
  <si>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</si>
  <si>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</si>
  <si>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</si>
  <si>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</si>
  <si>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</si>
  <si>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</si>
  <si>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</si>
  <si>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</si>
  <si>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</si>
  <si>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</si>
  <si>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</si>
  <si>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</si>
  <si>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</si>
  <si>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</si>
  <si>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</si>
  <si>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</si>
  <si>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</si>
  <si>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</si>
  <si>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</si>
  <si>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</si>
  <si>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</si>
  <si>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</si>
  <si>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</si>
  <si>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</si>
  <si>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</si>
  <si>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</si>
  <si>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</si>
  <si>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</si>
  <si>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</si>
  <si>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</si>
  <si>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</si>
  <si>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</si>
  <si>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</si>
  <si>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</si>
  <si>
    <t>CompanyName</t>
  </si>
  <si>
    <t>Year</t>
  </si>
  <si>
    <t>Quarter</t>
  </si>
  <si>
    <t>ScenarioName</t>
  </si>
  <si>
    <t>DirectionName</t>
  </si>
  <si>
    <t>COGSAmount</t>
  </si>
  <si>
    <t>Company A</t>
  </si>
  <si>
    <t>Q4</t>
  </si>
  <si>
    <t>Budget</t>
  </si>
  <si>
    <t>Q1</t>
  </si>
  <si>
    <t>Q2</t>
  </si>
  <si>
    <t>Q3</t>
  </si>
  <si>
    <t>QuarterName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</si>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</sst>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8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itHub\Financial-Analytics-SQL\data\raw\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 Flow Statement_Actual"/>
      <sheetName val="Balance Sheet_Actual"/>
      <sheetName val="Sales_Actual"/>
      <sheetName val="COGS_Actual"/>
      <sheetName val="Working Capital_Actual"/>
      <sheetName val="CapEx_Actual"/>
      <sheetName val="Debt Schedule_Actual"/>
      <sheetName val="DimDirection"/>
      <sheetName val="OPEX_Actual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10">
    <queryTableFields count="8">
      <queryTableField id="1" name="DirectionName" tableColumnId="1"/>
      <queryTableField id="2" name="Year" tableColumnId="2"/>
      <queryTableField id="3" name="QuarterName" tableColumnId="3"/>
      <queryTableField id="4" name="Volume, ths.m2" tableColumnId="4"/>
      <queryTableField id="7" name="Volume, t" tableColumnId="7"/>
      <queryTableField id="5" name="Price, UAH" tableColumnId="5"/>
      <queryTableField id="6" name="Revenue (excl. VAT), ths. UAH" tableColumnId="6"/>
      <queryTableField id="8" name="Volume" tableColumnId="8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16" applyNumberFormats="0" applyBorderFormats="0" applyFontFormats="0" applyPatternFormats="0" applyAlignmentFormats="0" applyWidthHeightFormats="0">
  <queryTableRefresh nextId="7">
    <queryTableFields count="6">
      <queryTableField id="1" name="CompanyName" tableColumnId="1"/>
      <queryTableField id="2" name="Year" tableColumnId="2"/>
      <queryTableField id="3" name="Quarter" tableColumnId="3"/>
      <queryTableField id="4" name="ScenarioName" tableColumnId="4"/>
      <queryTableField id="5" name="DirectionName" tableColumnId="5"/>
      <queryTableField id="6" name="COGSAmoun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Sales_Budget" displayName="Sales_Budget" ref="A1:H109" tableType="queryTable" totalsRowShown="0">
  <autoFilter ref="A1:H109"/>
  <tableColumns count="8">
    <tableColumn id="1" uniqueName="1" name="DirectionName" queryTableFieldId="1" dataDxfId="4"/>
    <tableColumn id="2" uniqueName="2" name="Year" queryTableFieldId="2"/>
    <tableColumn id="3" uniqueName="3" name="QuarterName" queryTableFieldId="3" dataDxfId="3"/>
    <tableColumn id="4" uniqueName="4" name="Volume, ths.m2" queryTableFieldId="4"/>
    <tableColumn id="7" uniqueName="7" name="Volume, t" queryTableFieldId="7"/>
    <tableColumn id="5" uniqueName="5" name="Price, UAH" queryTableFieldId="5"/>
    <tableColumn id="6" uniqueName="6" name="Revenue (excl. VAT), ths. UAH" queryTableFieldId="6"/>
    <tableColumn id="8" uniqueName="8" name="Volum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COGS_Budget" displayName="COGS_Budget" ref="A1:F226" tableType="queryTable" totalsRowShown="0">
  <autoFilter ref="A1:F226">
    <filterColumn colId="1">
      <filters>
        <filter val="2023"/>
        <filter val="2024"/>
        <filter val="2025"/>
      </filters>
    </filterColumn>
  </autoFilter>
  <tableColumns count="6">
    <tableColumn id="1" uniqueName="1" name="CompanyName" queryTableFieldId="1" dataDxfId="2"/>
    <tableColumn id="2" uniqueName="2" name="Year" queryTableFieldId="2"/>
    <tableColumn id="3" uniqueName="3" name="Quarter" queryTableFieldId="3"/>
    <tableColumn id="4" uniqueName="4" name="ScenarioName" queryTableFieldId="4" dataDxfId="1"/>
    <tableColumn id="5" uniqueName="5" name="DirectionName" queryTableFieldId="5" dataDxfId="0"/>
    <tableColumn id="6" uniqueName="6" name="COGSAmoun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opLeftCell="A13" zoomScale="85" zoomScaleNormal="85" workbookViewId="0">
      <selection activeCell="F19" sqref="F19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ht="14.4" x14ac:dyDescent="0.2">
      <c r="A2" s="15" t="s">
        <v>17</v>
      </c>
      <c r="B2" s="76">
        <v>8000</v>
      </c>
      <c r="C2" s="76">
        <f>B33</f>
        <v>7024.2342646077959</v>
      </c>
      <c r="D2" s="76">
        <f t="shared" ref="D2:N2" si="0">C33</f>
        <v>23701.584791462923</v>
      </c>
      <c r="E2" s="76">
        <f t="shared" si="0"/>
        <v>60413.446894232242</v>
      </c>
      <c r="F2" s="76">
        <f t="shared" si="0"/>
        <v>96025.370160270657</v>
      </c>
      <c r="G2" s="76">
        <f t="shared" si="0"/>
        <v>47391.717559476587</v>
      </c>
      <c r="H2" s="76">
        <f t="shared" si="0"/>
        <v>44739.786835090999</v>
      </c>
      <c r="I2" s="76">
        <f t="shared" si="0"/>
        <v>56717.220066211004</v>
      </c>
      <c r="J2" s="76">
        <f t="shared" si="0"/>
        <v>72956.372642678994</v>
      </c>
      <c r="K2" s="76">
        <f t="shared" si="0"/>
        <v>89241.518571592838</v>
      </c>
      <c r="L2" s="76">
        <f t="shared" si="0"/>
        <v>113720.17602304829</v>
      </c>
      <c r="M2" s="76">
        <f t="shared" si="0"/>
        <v>139954.31670022113</v>
      </c>
      <c r="N2" s="76">
        <f t="shared" si="0"/>
        <v>179505.96247004022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</row>
    <row r="3" spans="1:26" s="2" customFormat="1" ht="14.4" x14ac:dyDescent="0.2">
      <c r="A3" s="16" t="s">
        <v>18</v>
      </c>
      <c r="B3" s="25">
        <f>Sales_Budget!B38</f>
        <v>128600.04974020574</v>
      </c>
      <c r="C3" s="25">
        <f>Sales_Budget!C38</f>
        <v>244470</v>
      </c>
      <c r="D3" s="25">
        <f>Sales_Budget!D38</f>
        <v>300660</v>
      </c>
      <c r="E3" s="25">
        <f>Sales_Budget!E38</f>
        <v>292050</v>
      </c>
      <c r="F3" s="25">
        <f>Sales_Budget!F38</f>
        <v>246890</v>
      </c>
      <c r="G3" s="25">
        <f>Sales_Budget!G38</f>
        <v>324700</v>
      </c>
      <c r="H3" s="25">
        <f>Sales_Budget!H38</f>
        <v>319750</v>
      </c>
      <c r="I3" s="25">
        <f>Sales_Budget!I38</f>
        <v>309380</v>
      </c>
      <c r="J3" s="25">
        <f>Sales_Budget!J38</f>
        <v>208750</v>
      </c>
      <c r="K3" s="25">
        <f>Sales_Budget!K38</f>
        <v>357830</v>
      </c>
      <c r="L3" s="25">
        <f>Sales_Budget!L38</f>
        <v>430940</v>
      </c>
      <c r="M3" s="25">
        <f>Sales_Budget!M38</f>
        <v>325510</v>
      </c>
      <c r="N3" s="25">
        <f>Sales_Budget!N38</f>
        <v>325810</v>
      </c>
      <c r="O3" s="52">
        <f>Sales_Budget!O38</f>
        <v>0</v>
      </c>
      <c r="P3" s="52">
        <f>Sales_Budget!P38</f>
        <v>0</v>
      </c>
      <c r="Q3" s="52">
        <f>Sales_Budget!Q38</f>
        <v>0</v>
      </c>
      <c r="R3" s="52">
        <f>Sales_Budget!R38</f>
        <v>0</v>
      </c>
      <c r="S3" s="52">
        <f>Sales_Budget!S38</f>
        <v>0</v>
      </c>
      <c r="T3" s="52">
        <f>Sales_Budget!T38</f>
        <v>0</v>
      </c>
      <c r="U3" s="52">
        <f>Sales_Budget!U38</f>
        <v>0</v>
      </c>
      <c r="V3" s="52">
        <f>Sales_Budget!V38</f>
        <v>0</v>
      </c>
      <c r="W3" s="52">
        <f>Sales_Budget!W38</f>
        <v>0</v>
      </c>
      <c r="X3" s="52">
        <f>Sales_Budget!X38</f>
        <v>0</v>
      </c>
      <c r="Y3" s="52">
        <f>Sales_Budget!Y38</f>
        <v>0</v>
      </c>
      <c r="Z3" s="52">
        <f>Sales_Budget!Z38</f>
        <v>0</v>
      </c>
    </row>
    <row r="4" spans="1:26" ht="14.4" x14ac:dyDescent="0.2">
      <c r="A4" s="14" t="s">
        <v>19</v>
      </c>
      <c r="B4" s="24">
        <f>COGS_Budget!B36</f>
        <v>89791</v>
      </c>
      <c r="C4" s="24">
        <f>COGS_Budget!C36</f>
        <v>169065</v>
      </c>
      <c r="D4" s="24">
        <f>COGS_Budget!D36</f>
        <v>207024.2</v>
      </c>
      <c r="E4" s="24">
        <f>COGS_Budget!E36</f>
        <v>199015</v>
      </c>
      <c r="F4" s="24">
        <f>COGS_Budget!F36</f>
        <v>163005</v>
      </c>
      <c r="G4" s="24">
        <f>COGS_Budget!G36</f>
        <v>212520</v>
      </c>
      <c r="H4" s="24">
        <f>COGS_Budget!H36</f>
        <v>212230</v>
      </c>
      <c r="I4" s="24">
        <f>COGS_Budget!I36</f>
        <v>193744</v>
      </c>
      <c r="J4" s="24">
        <f>COGS_Budget!J36</f>
        <v>130211</v>
      </c>
      <c r="K4" s="24">
        <f>COGS_Budget!K36</f>
        <v>212044</v>
      </c>
      <c r="L4" s="24">
        <f>COGS_Budget!L36</f>
        <v>298372</v>
      </c>
      <c r="M4" s="24">
        <f>COGS_Budget!M36</f>
        <v>221012</v>
      </c>
      <c r="N4" s="24">
        <f>COGS_Budget!N36</f>
        <v>186246</v>
      </c>
      <c r="O4" s="53">
        <f>COGS_Budget!O36</f>
        <v>0</v>
      </c>
      <c r="P4" s="53">
        <f>COGS_Budget!P36</f>
        <v>0</v>
      </c>
      <c r="Q4" s="53">
        <f>COGS_Budget!Q36</f>
        <v>0</v>
      </c>
      <c r="R4" s="53">
        <f>COGS_Budget!R36</f>
        <v>0</v>
      </c>
      <c r="S4" s="53">
        <f>COGS_Budget!S36</f>
        <v>0</v>
      </c>
      <c r="T4" s="53">
        <f>COGS_Budget!T36</f>
        <v>0</v>
      </c>
      <c r="U4" s="53">
        <f>COGS_Budget!U36</f>
        <v>0</v>
      </c>
      <c r="V4" s="53">
        <f>COGS_Budget!V36</f>
        <v>0</v>
      </c>
      <c r="W4" s="53">
        <f>COGS_Budget!W36</f>
        <v>0</v>
      </c>
      <c r="X4" s="53">
        <f>COGS_Budget!X36</f>
        <v>0</v>
      </c>
      <c r="Y4" s="53">
        <f>COGS_Budget!Y36</f>
        <v>0</v>
      </c>
      <c r="Z4" s="53">
        <f>COGS_Budget!Z36</f>
        <v>0</v>
      </c>
    </row>
    <row r="5" spans="1:26" ht="16.45" customHeight="1" x14ac:dyDescent="0.2">
      <c r="A5" s="16" t="s">
        <v>20</v>
      </c>
      <c r="B5" s="25">
        <f t="shared" ref="B5:N5" si="1">B3-B4</f>
        <v>38809.049740205737</v>
      </c>
      <c r="C5" s="25">
        <f t="shared" si="1"/>
        <v>75405</v>
      </c>
      <c r="D5" s="25">
        <f t="shared" si="1"/>
        <v>93635.799999999988</v>
      </c>
      <c r="E5" s="25">
        <f t="shared" si="1"/>
        <v>93035</v>
      </c>
      <c r="F5" s="25">
        <f t="shared" si="1"/>
        <v>83885</v>
      </c>
      <c r="G5" s="25">
        <f t="shared" si="1"/>
        <v>112180</v>
      </c>
      <c r="H5" s="25">
        <f t="shared" si="1"/>
        <v>107520</v>
      </c>
      <c r="I5" s="25">
        <f t="shared" si="1"/>
        <v>115636</v>
      </c>
      <c r="J5" s="25">
        <f t="shared" si="1"/>
        <v>78539</v>
      </c>
      <c r="K5" s="25">
        <f t="shared" si="1"/>
        <v>145786</v>
      </c>
      <c r="L5" s="25">
        <f t="shared" si="1"/>
        <v>132568</v>
      </c>
      <c r="M5" s="25">
        <f t="shared" si="1"/>
        <v>104498</v>
      </c>
      <c r="N5" s="25">
        <f t="shared" si="1"/>
        <v>139564</v>
      </c>
      <c r="O5" s="52">
        <f t="shared" ref="O5" si="2">O3-O4</f>
        <v>0</v>
      </c>
      <c r="P5" s="52">
        <f t="shared" ref="P5:Z5" si="3">P3-P4</f>
        <v>0</v>
      </c>
      <c r="Q5" s="52">
        <f t="shared" si="3"/>
        <v>0</v>
      </c>
      <c r="R5" s="52">
        <f t="shared" si="3"/>
        <v>0</v>
      </c>
      <c r="S5" s="52">
        <f t="shared" si="3"/>
        <v>0</v>
      </c>
      <c r="T5" s="52">
        <f t="shared" si="3"/>
        <v>0</v>
      </c>
      <c r="U5" s="52">
        <f t="shared" si="3"/>
        <v>0</v>
      </c>
      <c r="V5" s="52">
        <f t="shared" si="3"/>
        <v>0</v>
      </c>
      <c r="W5" s="52">
        <f t="shared" si="3"/>
        <v>0</v>
      </c>
      <c r="X5" s="52">
        <f t="shared" si="3"/>
        <v>0</v>
      </c>
      <c r="Y5" s="52">
        <f t="shared" si="3"/>
        <v>0</v>
      </c>
      <c r="Z5" s="52">
        <f t="shared" si="3"/>
        <v>0</v>
      </c>
    </row>
    <row r="6" spans="1:26" ht="14.4" x14ac:dyDescent="0.2">
      <c r="A6" s="14" t="s">
        <v>21</v>
      </c>
      <c r="B6" s="24">
        <v>10000</v>
      </c>
      <c r="C6" s="24">
        <v>10000</v>
      </c>
      <c r="D6" s="24">
        <v>10000</v>
      </c>
      <c r="E6" s="24">
        <v>10000</v>
      </c>
      <c r="F6" s="24">
        <v>10000</v>
      </c>
      <c r="G6" s="24">
        <v>15000</v>
      </c>
      <c r="H6" s="24">
        <v>15000</v>
      </c>
      <c r="I6" s="24">
        <v>15000</v>
      </c>
      <c r="J6" s="24">
        <v>15000</v>
      </c>
      <c r="K6" s="24">
        <v>18000</v>
      </c>
      <c r="L6" s="24">
        <v>18000</v>
      </c>
      <c r="M6" s="24">
        <v>18000</v>
      </c>
      <c r="N6" s="24">
        <v>18000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</row>
    <row r="7" spans="1:26" ht="14.4" x14ac:dyDescent="0.2">
      <c r="A7" s="14" t="s">
        <v>22</v>
      </c>
      <c r="B7" s="24">
        <v>5244.12</v>
      </c>
      <c r="C7" s="24">
        <v>5244.12</v>
      </c>
      <c r="D7" s="24">
        <v>5244.12</v>
      </c>
      <c r="E7" s="24">
        <v>5244.12</v>
      </c>
      <c r="F7" s="24">
        <v>5244.12</v>
      </c>
      <c r="G7" s="24">
        <v>6924.12</v>
      </c>
      <c r="H7" s="24">
        <v>6924.12</v>
      </c>
      <c r="I7" s="24">
        <v>6924.12</v>
      </c>
      <c r="J7" s="24">
        <v>6924.12</v>
      </c>
      <c r="K7" s="24">
        <v>8094.12</v>
      </c>
      <c r="L7" s="24">
        <v>8694.6721975362689</v>
      </c>
      <c r="M7" s="24">
        <v>8994.6721975362707</v>
      </c>
      <c r="N7" s="24">
        <v>9694.6721975362707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</row>
    <row r="8" spans="1:26" ht="14.4" x14ac:dyDescent="0.2">
      <c r="A8" s="14" t="s">
        <v>23</v>
      </c>
      <c r="B8" s="24">
        <v>11574.400149220617</v>
      </c>
      <c r="C8" s="24">
        <v>21922.287496058001</v>
      </c>
      <c r="D8" s="24">
        <v>22154.108349416001</v>
      </c>
      <c r="E8" s="24">
        <v>18943.701752264002</v>
      </c>
      <c r="F8" s="24">
        <v>16837.417214879999</v>
      </c>
      <c r="G8" s="24">
        <v>26185.157345200001</v>
      </c>
      <c r="H8" s="24">
        <v>25276.290598799998</v>
      </c>
      <c r="I8" s="24">
        <v>20146.906013799999</v>
      </c>
      <c r="J8" s="24">
        <v>10927.390675085553</v>
      </c>
      <c r="K8" s="24">
        <v>29396.1415488536</v>
      </c>
      <c r="L8" s="24">
        <v>27733.603902001312</v>
      </c>
      <c r="M8" s="24">
        <v>21275.527714777978</v>
      </c>
      <c r="N8" s="24">
        <v>18191.177515200001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</row>
    <row r="9" spans="1:26" ht="14.4" x14ac:dyDescent="0.2">
      <c r="A9" s="14" t="s">
        <v>24</v>
      </c>
      <c r="B9" s="24">
        <v>10000</v>
      </c>
      <c r="C9" s="24">
        <v>10000</v>
      </c>
      <c r="D9" s="24">
        <v>10000</v>
      </c>
      <c r="E9" s="24">
        <v>10000</v>
      </c>
      <c r="F9" s="24">
        <v>10000</v>
      </c>
      <c r="G9" s="24">
        <v>10000</v>
      </c>
      <c r="H9" s="24">
        <v>10100</v>
      </c>
      <c r="I9" s="24">
        <v>10100</v>
      </c>
      <c r="J9" s="24">
        <v>10200</v>
      </c>
      <c r="K9" s="24">
        <v>10200</v>
      </c>
      <c r="L9" s="24">
        <v>10200</v>
      </c>
      <c r="M9" s="24">
        <v>10300</v>
      </c>
      <c r="N9" s="24">
        <v>10300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</row>
    <row r="10" spans="1:26" ht="18" customHeight="1" x14ac:dyDescent="0.2">
      <c r="A10" s="14" t="s">
        <v>25</v>
      </c>
      <c r="B10" s="24">
        <v>15000</v>
      </c>
      <c r="C10" s="24">
        <v>15000</v>
      </c>
      <c r="D10" s="24">
        <v>15000</v>
      </c>
      <c r="E10" s="24">
        <v>15000</v>
      </c>
      <c r="F10" s="24">
        <v>15000</v>
      </c>
      <c r="G10" s="24">
        <v>15000</v>
      </c>
      <c r="H10" s="24">
        <v>15000</v>
      </c>
      <c r="I10" s="24">
        <v>15000</v>
      </c>
      <c r="J10" s="24">
        <v>15000</v>
      </c>
      <c r="K10" s="24">
        <v>15000</v>
      </c>
      <c r="L10" s="24">
        <v>15000</v>
      </c>
      <c r="M10" s="24">
        <v>15000</v>
      </c>
      <c r="N10" s="24">
        <v>15000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</row>
    <row r="11" spans="1:26" ht="23.5" customHeight="1" x14ac:dyDescent="0.2">
      <c r="A11" s="14" t="s">
        <v>36</v>
      </c>
      <c r="B11" s="76">
        <v>0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</row>
    <row r="12" spans="1:26" ht="23.5" customHeight="1" x14ac:dyDescent="0.2">
      <c r="A12" s="14" t="s">
        <v>37</v>
      </c>
      <c r="B12" s="76">
        <v>0</v>
      </c>
      <c r="C12" s="76">
        <f>'Debt Schedule_Budget'!C7</f>
        <v>0</v>
      </c>
      <c r="D12" s="76">
        <f>'Debt Schedule_Budget'!D7</f>
        <v>0</v>
      </c>
      <c r="E12" s="76">
        <f>'Debt Schedule_Budget'!E7</f>
        <v>0</v>
      </c>
      <c r="F12" s="76">
        <f>'Debt Schedule_Budget'!F7</f>
        <v>0</v>
      </c>
      <c r="G12" s="76">
        <f>'Debt Schedule_Budget'!G7</f>
        <v>665</v>
      </c>
      <c r="H12" s="76">
        <f>'Debt Schedule_Budget'!H7</f>
        <v>2280</v>
      </c>
      <c r="I12" s="76">
        <f>'Debt Schedule_Budget'!I7</f>
        <v>6650</v>
      </c>
      <c r="J12" s="76">
        <f>'Debt Schedule_Budget'!J7</f>
        <v>9595</v>
      </c>
      <c r="K12" s="76">
        <f>'Debt Schedule_Budget'!K7</f>
        <v>4560</v>
      </c>
      <c r="L12" s="76">
        <f>'Debt Schedule_Budget'!L7</f>
        <v>0</v>
      </c>
      <c r="M12" s="76">
        <f>'Debt Schedule_Budget'!M7</f>
        <v>0</v>
      </c>
      <c r="N12" s="76">
        <f>'Debt Schedule_Budget'!N7</f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</row>
    <row r="13" spans="1:26" s="4" customFormat="1" ht="14.4" x14ac:dyDescent="0.2">
      <c r="A13" s="14" t="s">
        <v>26</v>
      </c>
      <c r="B13" s="24">
        <v>500</v>
      </c>
      <c r="C13" s="24">
        <v>500</v>
      </c>
      <c r="D13" s="24">
        <v>500</v>
      </c>
      <c r="E13" s="24">
        <v>500</v>
      </c>
      <c r="F13" s="24">
        <v>500</v>
      </c>
      <c r="G13" s="24">
        <v>500</v>
      </c>
      <c r="H13" s="24">
        <v>500</v>
      </c>
      <c r="I13" s="24">
        <v>500</v>
      </c>
      <c r="J13" s="24">
        <v>500</v>
      </c>
      <c r="K13" s="24">
        <v>500</v>
      </c>
      <c r="L13" s="24">
        <v>500</v>
      </c>
      <c r="M13" s="24">
        <v>500</v>
      </c>
      <c r="N13" s="24">
        <v>500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</row>
    <row r="14" spans="1:26" ht="14.4" x14ac:dyDescent="0.25">
      <c r="A14" s="14" t="s">
        <v>27</v>
      </c>
      <c r="B14" s="24">
        <v>0</v>
      </c>
      <c r="C14" s="84">
        <v>0</v>
      </c>
      <c r="D14" s="84">
        <v>0</v>
      </c>
      <c r="E14" s="84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84">
        <v>0</v>
      </c>
      <c r="L14" s="84">
        <v>0</v>
      </c>
      <c r="M14" s="84">
        <v>0</v>
      </c>
      <c r="N14" s="84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</row>
    <row r="15" spans="1:26" ht="23.95" customHeight="1" x14ac:dyDescent="0.2">
      <c r="A15" s="16" t="s">
        <v>28</v>
      </c>
      <c r="B15" s="77">
        <f>B5+B6-B7-B8-B9-B10+B11-B12-B13+B14</f>
        <v>6490.5295909851193</v>
      </c>
      <c r="C15" s="77">
        <f t="shared" ref="C15:N15" si="4">C5+C6-C7-C8-C9-C10+C11-C12-C13+C14</f>
        <v>32738.592503942004</v>
      </c>
      <c r="D15" s="77">
        <f t="shared" si="4"/>
        <v>50737.571650583996</v>
      </c>
      <c r="E15" s="77">
        <f t="shared" si="4"/>
        <v>53347.17824773601</v>
      </c>
      <c r="F15" s="77">
        <f t="shared" si="4"/>
        <v>46303.462785120006</v>
      </c>
      <c r="G15" s="77">
        <f t="shared" si="4"/>
        <v>67905.722654800004</v>
      </c>
      <c r="H15" s="77">
        <f t="shared" si="4"/>
        <v>62439.589401200006</v>
      </c>
      <c r="I15" s="77">
        <f t="shared" si="4"/>
        <v>71314.973986199999</v>
      </c>
      <c r="J15" s="77">
        <f t="shared" si="4"/>
        <v>40392.489324914452</v>
      </c>
      <c r="K15" s="77">
        <f t="shared" si="4"/>
        <v>96035.738451146404</v>
      </c>
      <c r="L15" s="77">
        <f t="shared" si="4"/>
        <v>88439.723900462413</v>
      </c>
      <c r="M15" s="77">
        <f t="shared" si="4"/>
        <v>66427.800087685755</v>
      </c>
      <c r="N15" s="77">
        <f t="shared" si="4"/>
        <v>103878.15028726372</v>
      </c>
      <c r="O15" s="54">
        <f t="shared" ref="O15:Z15" si="5">O5+O6-O7-O8-O9+O11-O12-O13+O14</f>
        <v>0</v>
      </c>
      <c r="P15" s="54">
        <f t="shared" si="5"/>
        <v>0</v>
      </c>
      <c r="Q15" s="54">
        <f t="shared" si="5"/>
        <v>0</v>
      </c>
      <c r="R15" s="54">
        <f t="shared" si="5"/>
        <v>0</v>
      </c>
      <c r="S15" s="54">
        <f t="shared" si="5"/>
        <v>0</v>
      </c>
      <c r="T15" s="54">
        <f t="shared" si="5"/>
        <v>0</v>
      </c>
      <c r="U15" s="54">
        <f t="shared" si="5"/>
        <v>0</v>
      </c>
      <c r="V15" s="54">
        <f t="shared" si="5"/>
        <v>0</v>
      </c>
      <c r="W15" s="54">
        <f t="shared" si="5"/>
        <v>0</v>
      </c>
      <c r="X15" s="54">
        <f t="shared" si="5"/>
        <v>0</v>
      </c>
      <c r="Y15" s="54">
        <f t="shared" si="5"/>
        <v>0</v>
      </c>
      <c r="Z15" s="54">
        <f t="shared" si="5"/>
        <v>0</v>
      </c>
    </row>
    <row r="16" spans="1:26" ht="23.5" customHeight="1" x14ac:dyDescent="0.2">
      <c r="A16" s="14" t="s">
        <v>48</v>
      </c>
      <c r="B16" s="76">
        <f>B15*0.18</f>
        <v>1168.2953263773213</v>
      </c>
      <c r="C16" s="76">
        <f t="shared" ref="C16:N16" si="6">C15*0.18</f>
        <v>5892.9466507095603</v>
      </c>
      <c r="D16" s="76">
        <f t="shared" si="6"/>
        <v>9132.7628971051181</v>
      </c>
      <c r="E16" s="76">
        <f t="shared" si="6"/>
        <v>9602.4920845924808</v>
      </c>
      <c r="F16" s="76">
        <f t="shared" si="6"/>
        <v>8334.6233013216006</v>
      </c>
      <c r="G16" s="76">
        <f t="shared" si="6"/>
        <v>12223.030077863999</v>
      </c>
      <c r="H16" s="76">
        <f t="shared" si="6"/>
        <v>11239.126092216</v>
      </c>
      <c r="I16" s="76">
        <f t="shared" si="6"/>
        <v>12836.695317516</v>
      </c>
      <c r="J16" s="76">
        <f t="shared" si="6"/>
        <v>7270.6480784846008</v>
      </c>
      <c r="K16" s="76">
        <f t="shared" si="6"/>
        <v>17286.432921206353</v>
      </c>
      <c r="L16" s="76">
        <f t="shared" si="6"/>
        <v>15919.150302083233</v>
      </c>
      <c r="M16" s="76">
        <f t="shared" si="6"/>
        <v>11957.004015783436</v>
      </c>
      <c r="N16" s="76">
        <f t="shared" si="6"/>
        <v>18698.067051707469</v>
      </c>
      <c r="O16" s="40">
        <f t="shared" ref="O16" si="7">O15*0.18</f>
        <v>0</v>
      </c>
      <c r="P16" s="40">
        <f t="shared" ref="P16:Z16" si="8">P15*0.18</f>
        <v>0</v>
      </c>
      <c r="Q16" s="40">
        <f t="shared" si="8"/>
        <v>0</v>
      </c>
      <c r="R16" s="40">
        <f t="shared" si="8"/>
        <v>0</v>
      </c>
      <c r="S16" s="40">
        <f t="shared" si="8"/>
        <v>0</v>
      </c>
      <c r="T16" s="40">
        <f t="shared" si="8"/>
        <v>0</v>
      </c>
      <c r="U16" s="40">
        <f t="shared" si="8"/>
        <v>0</v>
      </c>
      <c r="V16" s="40">
        <f t="shared" si="8"/>
        <v>0</v>
      </c>
      <c r="W16" s="40">
        <f t="shared" si="8"/>
        <v>0</v>
      </c>
      <c r="X16" s="40">
        <f t="shared" si="8"/>
        <v>0</v>
      </c>
      <c r="Y16" s="40">
        <f t="shared" si="8"/>
        <v>0</v>
      </c>
      <c r="Z16" s="40">
        <f t="shared" si="8"/>
        <v>0</v>
      </c>
    </row>
    <row r="17" spans="1:26" ht="14.4" x14ac:dyDescent="0.2">
      <c r="A17" s="16" t="s">
        <v>29</v>
      </c>
      <c r="B17" s="77">
        <f>B15-B16</f>
        <v>5322.2342646077977</v>
      </c>
      <c r="C17" s="77">
        <f t="shared" ref="C17:N17" si="9">C15-C16</f>
        <v>26845.645853232443</v>
      </c>
      <c r="D17" s="77">
        <f t="shared" si="9"/>
        <v>41604.808753478879</v>
      </c>
      <c r="E17" s="77">
        <f t="shared" si="9"/>
        <v>43744.686163143531</v>
      </c>
      <c r="F17" s="77">
        <f t="shared" si="9"/>
        <v>37968.839483798409</v>
      </c>
      <c r="G17" s="77">
        <f t="shared" si="9"/>
        <v>55682.692576936002</v>
      </c>
      <c r="H17" s="77">
        <f t="shared" si="9"/>
        <v>51200.463308984006</v>
      </c>
      <c r="I17" s="77">
        <f t="shared" si="9"/>
        <v>58478.278668683997</v>
      </c>
      <c r="J17" s="77">
        <f t="shared" si="9"/>
        <v>33121.841246429853</v>
      </c>
      <c r="K17" s="77">
        <f t="shared" si="9"/>
        <v>78749.305529940058</v>
      </c>
      <c r="L17" s="77">
        <f t="shared" si="9"/>
        <v>72520.573598379182</v>
      </c>
      <c r="M17" s="77">
        <f t="shared" si="9"/>
        <v>54470.796071902318</v>
      </c>
      <c r="N17" s="77">
        <f t="shared" si="9"/>
        <v>85180.08323555626</v>
      </c>
      <c r="O17" s="54">
        <f t="shared" ref="O17" si="10">O15-O16</f>
        <v>0</v>
      </c>
      <c r="P17" s="54">
        <f t="shared" ref="P17:Z17" si="11">P15-P16</f>
        <v>0</v>
      </c>
      <c r="Q17" s="54">
        <f t="shared" si="11"/>
        <v>0</v>
      </c>
      <c r="R17" s="54">
        <f t="shared" si="11"/>
        <v>0</v>
      </c>
      <c r="S17" s="54">
        <f t="shared" si="11"/>
        <v>0</v>
      </c>
      <c r="T17" s="54">
        <f t="shared" si="11"/>
        <v>0</v>
      </c>
      <c r="U17" s="54">
        <f t="shared" si="11"/>
        <v>0</v>
      </c>
      <c r="V17" s="54">
        <f t="shared" si="11"/>
        <v>0</v>
      </c>
      <c r="W17" s="54">
        <f t="shared" si="11"/>
        <v>0</v>
      </c>
      <c r="X17" s="54">
        <f t="shared" si="11"/>
        <v>0</v>
      </c>
      <c r="Y17" s="54">
        <f t="shared" si="11"/>
        <v>0</v>
      </c>
      <c r="Z17" s="54">
        <f t="shared" si="11"/>
        <v>0</v>
      </c>
    </row>
    <row r="18" spans="1:26" ht="15.05" customHeight="1" x14ac:dyDescent="0.25">
      <c r="A18" s="14" t="s">
        <v>30</v>
      </c>
      <c r="B18" s="24">
        <v>11981</v>
      </c>
      <c r="C18" s="84">
        <f>'Working Capital_Budget'!C2-'Working Capital_Budget'!B2</f>
        <v>10000</v>
      </c>
      <c r="D18" s="84">
        <f>'Working Capital_Budget'!D2-'Working Capital_Budget'!C2</f>
        <v>0</v>
      </c>
      <c r="E18" s="84">
        <f>'Working Capital_Budget'!E2-'Working Capital_Budget'!D2</f>
        <v>0</v>
      </c>
      <c r="F18" s="84">
        <f>'Working Capital_Budget'!F2-'Working Capital_Budget'!E2</f>
        <v>0</v>
      </c>
      <c r="G18" s="84">
        <f>'Working Capital_Budget'!G2-'Working Capital_Budget'!F2</f>
        <v>20000</v>
      </c>
      <c r="H18" s="84">
        <f>'Working Capital_Budget'!H2-'Working Capital_Budget'!G2</f>
        <v>0</v>
      </c>
      <c r="I18" s="84">
        <f>'Working Capital_Budget'!I2-'Working Capital_Budget'!H2</f>
        <v>0</v>
      </c>
      <c r="J18" s="84">
        <f>'Working Capital_Budget'!J2-'Working Capital_Budget'!I2</f>
        <v>30000</v>
      </c>
      <c r="K18" s="84">
        <f>'Working Capital_Budget'!K2-'Working Capital_Budget'!J2</f>
        <v>0</v>
      </c>
      <c r="L18" s="84">
        <f>'Working Capital_Budget'!L2-'Working Capital_Budget'!K2</f>
        <v>0</v>
      </c>
      <c r="M18" s="84">
        <f>'Working Capital_Budget'!M2-'Working Capital_Budget'!L2</f>
        <v>0</v>
      </c>
      <c r="N18" s="84">
        <f>'Working Capital_Budget'!N2-'Working Capital_Budget'!M2</f>
        <v>40000</v>
      </c>
      <c r="O18" s="39">
        <v>0</v>
      </c>
      <c r="P18" s="39">
        <f>'Working Capital_Budget'!P2-'Working Capital_Budget'!O2</f>
        <v>0</v>
      </c>
      <c r="Q18" s="39">
        <f>'Working Capital_Budget'!Q2-'Working Capital_Budget'!P2</f>
        <v>0</v>
      </c>
      <c r="R18" s="39">
        <v>0</v>
      </c>
      <c r="S18" s="39">
        <f>'Working Capital_Budget'!S2-'Working Capital_Budget'!R2</f>
        <v>0</v>
      </c>
      <c r="T18" s="39">
        <f>'Working Capital_Budget'!T2-'Working Capital_Budget'!S2</f>
        <v>0</v>
      </c>
      <c r="U18" s="39">
        <f>'Working Capital_Budget'!U2-'Working Capital_Budget'!T2</f>
        <v>0</v>
      </c>
      <c r="V18" s="39">
        <v>0</v>
      </c>
      <c r="W18" s="39">
        <f>'Working Capital_Budget'!W2-'Working Capital_Budget'!V2</f>
        <v>0</v>
      </c>
      <c r="X18" s="39">
        <f>'Working Capital_Budget'!X2-'Working Capital_Budget'!W2</f>
        <v>0</v>
      </c>
      <c r="Y18" s="39">
        <f>'Working Capital_Budget'!Y2-'Working Capital_Budget'!X2</f>
        <v>0</v>
      </c>
      <c r="Z18" s="39">
        <v>0</v>
      </c>
    </row>
    <row r="19" spans="1:26" ht="14.4" x14ac:dyDescent="0.2">
      <c r="A19" s="14" t="s">
        <v>31</v>
      </c>
      <c r="B19" s="24">
        <v>5348</v>
      </c>
      <c r="C19" s="76">
        <f>'Working Capital_Budget'!C3-'Working Capital_Budget'!B3</f>
        <v>0</v>
      </c>
      <c r="D19" s="76">
        <f>'Working Capital_Budget'!D3-'Working Capital_Budget'!C3</f>
        <v>0</v>
      </c>
      <c r="E19" s="76">
        <f>'Working Capital_Budget'!E3-'Working Capital_Budget'!D3</f>
        <v>0</v>
      </c>
      <c r="F19" s="76">
        <f>'Working Capital_Budget'!F3-'Working Capital_Budget'!E3</f>
        <v>40000</v>
      </c>
      <c r="G19" s="76">
        <f>'Working Capital_Budget'!G3-'Working Capital_Budget'!F3</f>
        <v>0</v>
      </c>
      <c r="H19" s="76">
        <f>'Working Capital_Budget'!H3-'Working Capital_Budget'!G3</f>
        <v>0</v>
      </c>
      <c r="I19" s="76">
        <f>'Working Capital_Budget'!I3-'Working Capital_Budget'!H3</f>
        <v>0</v>
      </c>
      <c r="J19" s="76">
        <f>'Working Capital_Budget'!J3-'Working Capital_Budget'!I3</f>
        <v>-30000</v>
      </c>
      <c r="K19" s="76">
        <f>'Working Capital_Budget'!K3-'Working Capital_Budget'!J3</f>
        <v>0</v>
      </c>
      <c r="L19" s="76">
        <f>'Working Capital_Budget'!L3-'Working Capital_Budget'!K3</f>
        <v>30000</v>
      </c>
      <c r="M19" s="76">
        <f>'Working Capital_Budget'!M3-'Working Capital_Budget'!L3</f>
        <v>0</v>
      </c>
      <c r="N19" s="76">
        <f>'Working Capital_Budget'!N3-'Working Capital_Budget'!M3</f>
        <v>0</v>
      </c>
      <c r="O19" s="40">
        <v>0</v>
      </c>
      <c r="P19" s="40">
        <f>'Working Capital_Budget'!P3-'Working Capital_Budget'!O3</f>
        <v>0</v>
      </c>
      <c r="Q19" s="40">
        <f>'Working Capital_Budget'!Q3-'Working Capital_Budget'!P3</f>
        <v>0</v>
      </c>
      <c r="R19" s="40">
        <f>'Working Capital_Budget'!R3-'Working Capital_Budget'!Q3</f>
        <v>0</v>
      </c>
      <c r="S19" s="40">
        <f>'Working Capital_Budget'!S3-'Working Capital_Budget'!R3</f>
        <v>0</v>
      </c>
      <c r="T19" s="40">
        <f>'Working Capital_Budget'!T3-'Working Capital_Budget'!S3</f>
        <v>0</v>
      </c>
      <c r="U19" s="40">
        <f>'Working Capital_Budget'!U3-'Working Capital_Budget'!T3</f>
        <v>0</v>
      </c>
      <c r="V19" s="40">
        <f>'Working Capital_Budget'!V3-'Working Capital_Budget'!U3</f>
        <v>0</v>
      </c>
      <c r="W19" s="40">
        <f>'Working Capital_Budget'!W3-'Working Capital_Budget'!V3</f>
        <v>0</v>
      </c>
      <c r="X19" s="40">
        <f>'Working Capital_Budget'!X3-'Working Capital_Budget'!W3</f>
        <v>0</v>
      </c>
      <c r="Y19" s="40">
        <f>'Working Capital_Budget'!Y3-'Working Capital_Budget'!X3</f>
        <v>0</v>
      </c>
      <c r="Z19" s="40">
        <f>'Working Capital_Budget'!Z3-'Working Capital_Budget'!Y3</f>
        <v>0</v>
      </c>
    </row>
    <row r="20" spans="1:26" ht="14.4" x14ac:dyDescent="0.2">
      <c r="A20" s="14" t="s">
        <v>32</v>
      </c>
      <c r="B20" s="24">
        <v>13551</v>
      </c>
      <c r="C20" s="76">
        <f>'Working Capital_Budget'!C4-'Working Capital_Budget'!B4</f>
        <v>0</v>
      </c>
      <c r="D20" s="76">
        <f>'Working Capital_Budget'!D4-'Working Capital_Budget'!C4</f>
        <v>0</v>
      </c>
      <c r="E20" s="76">
        <f>'Working Capital_Budget'!E4-'Working Capital_Budget'!D4</f>
        <v>0</v>
      </c>
      <c r="F20" s="76">
        <f>'Working Capital_Budget'!F4-'Working Capital_Budget'!E4</f>
        <v>0</v>
      </c>
      <c r="G20" s="76">
        <f>'Working Capital_Budget'!G4-'Working Capital_Budget'!F4</f>
        <v>0</v>
      </c>
      <c r="H20" s="76">
        <f>'Working Capital_Budget'!H4-'Working Capital_Budget'!G4</f>
        <v>0</v>
      </c>
      <c r="I20" s="76">
        <f>'Working Capital_Budget'!I4-'Working Capital_Budget'!H4</f>
        <v>-30000</v>
      </c>
      <c r="J20" s="76">
        <f>'Working Capital_Budget'!J4-'Working Capital_Budget'!I4</f>
        <v>0</v>
      </c>
      <c r="K20" s="76">
        <f>'Working Capital_Budget'!K4-'Working Capital_Budget'!J4</f>
        <v>0</v>
      </c>
      <c r="L20" s="76">
        <f>'Working Capital_Budget'!L4-'Working Capital_Budget'!K4</f>
        <v>0</v>
      </c>
      <c r="M20" s="76">
        <f>'Working Capital_Budget'!M4-'Working Capital_Budget'!L4</f>
        <v>0</v>
      </c>
      <c r="N20" s="76">
        <f>'Working Capital_Budget'!N4-'Working Capital_Budget'!M4</f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</row>
    <row r="21" spans="1:26" ht="14.4" x14ac:dyDescent="0.2">
      <c r="A21" s="16" t="s">
        <v>33</v>
      </c>
      <c r="B21" s="80">
        <f>B17+B10-B18-B19+B20-3520</f>
        <v>13024.234264607796</v>
      </c>
      <c r="C21" s="80">
        <f>C17+C10-C18-C19+C20-B16</f>
        <v>30677.350526855127</v>
      </c>
      <c r="D21" s="80">
        <f t="shared" ref="D21:N21" si="12">D17+D10-D18-D19+D20-C16</f>
        <v>50711.862102769315</v>
      </c>
      <c r="E21" s="80">
        <f t="shared" si="12"/>
        <v>49611.923266038415</v>
      </c>
      <c r="F21" s="80">
        <f t="shared" si="12"/>
        <v>3366.347399205928</v>
      </c>
      <c r="G21" s="80">
        <f t="shared" si="12"/>
        <v>42348.069275614413</v>
      </c>
      <c r="H21" s="80">
        <f t="shared" si="12"/>
        <v>53977.433231120005</v>
      </c>
      <c r="I21" s="80">
        <f t="shared" si="12"/>
        <v>32239.152576467997</v>
      </c>
      <c r="J21" s="80">
        <f t="shared" si="12"/>
        <v>35285.145928913851</v>
      </c>
      <c r="K21" s="80">
        <f t="shared" si="12"/>
        <v>86478.657451455452</v>
      </c>
      <c r="L21" s="80">
        <f t="shared" si="12"/>
        <v>40234.140677172829</v>
      </c>
      <c r="M21" s="80">
        <f t="shared" si="12"/>
        <v>53551.645769819093</v>
      </c>
      <c r="N21" s="80">
        <f t="shared" si="12"/>
        <v>48223.079219772822</v>
      </c>
      <c r="O21" s="80">
        <v>0</v>
      </c>
      <c r="P21" s="80">
        <f t="shared" ref="P21:Z21" si="13">-P18-P19+P17+P20</f>
        <v>0</v>
      </c>
      <c r="Q21" s="80">
        <f t="shared" si="13"/>
        <v>0</v>
      </c>
      <c r="R21" s="80">
        <f t="shared" si="13"/>
        <v>0</v>
      </c>
      <c r="S21" s="80">
        <f t="shared" si="13"/>
        <v>0</v>
      </c>
      <c r="T21" s="80">
        <f t="shared" si="13"/>
        <v>0</v>
      </c>
      <c r="U21" s="80">
        <f t="shared" si="13"/>
        <v>0</v>
      </c>
      <c r="V21" s="80">
        <f t="shared" si="13"/>
        <v>0</v>
      </c>
      <c r="W21" s="80">
        <f t="shared" si="13"/>
        <v>0</v>
      </c>
      <c r="X21" s="80">
        <f t="shared" si="13"/>
        <v>0</v>
      </c>
      <c r="Y21" s="80">
        <f t="shared" si="13"/>
        <v>0</v>
      </c>
      <c r="Z21" s="80">
        <f t="shared" si="13"/>
        <v>0</v>
      </c>
    </row>
    <row r="22" spans="1:26" ht="14.4" x14ac:dyDescent="0.2">
      <c r="A22" s="14" t="s">
        <v>34</v>
      </c>
      <c r="B22" s="24">
        <f>CapEx_Budget!B7</f>
        <v>14000</v>
      </c>
      <c r="C22" s="24">
        <f>CapEx_Budget!C7</f>
        <v>14000</v>
      </c>
      <c r="D22" s="24">
        <f>CapEx_Budget!D7</f>
        <v>14000</v>
      </c>
      <c r="E22" s="24">
        <f>CapEx_Budget!E7</f>
        <v>14000</v>
      </c>
      <c r="F22" s="24">
        <f>CapEx_Budget!F7</f>
        <v>52000</v>
      </c>
      <c r="G22" s="24">
        <f>CapEx_Budget!G7</f>
        <v>52000</v>
      </c>
      <c r="H22" s="24">
        <f>CapEx_Budget!H7</f>
        <v>52000</v>
      </c>
      <c r="I22" s="24">
        <f>CapEx_Budget!I7</f>
        <v>52000</v>
      </c>
      <c r="J22" s="24">
        <f>CapEx_Budget!J7</f>
        <v>14000</v>
      </c>
      <c r="K22" s="24">
        <f>CapEx_Budget!K7</f>
        <v>14000</v>
      </c>
      <c r="L22" s="24">
        <f>CapEx_Budget!L7</f>
        <v>14000</v>
      </c>
      <c r="M22" s="24">
        <f>CapEx_Budget!M7</f>
        <v>14000</v>
      </c>
      <c r="N22" s="24">
        <f>CapEx_Budget!N7</f>
        <v>14000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</row>
    <row r="23" spans="1:26" s="5" customFormat="1" ht="14.4" x14ac:dyDescent="0.2">
      <c r="A23" s="16" t="s">
        <v>35</v>
      </c>
      <c r="B23" s="77">
        <f>-(B22)</f>
        <v>-14000</v>
      </c>
      <c r="C23" s="77">
        <f t="shared" ref="C23:H23" si="14">-C22</f>
        <v>-14000</v>
      </c>
      <c r="D23" s="77">
        <f t="shared" si="14"/>
        <v>-14000</v>
      </c>
      <c r="E23" s="77">
        <f t="shared" si="14"/>
        <v>-14000</v>
      </c>
      <c r="F23" s="77">
        <f t="shared" si="14"/>
        <v>-52000</v>
      </c>
      <c r="G23" s="77">
        <f t="shared" si="14"/>
        <v>-52000</v>
      </c>
      <c r="H23" s="77">
        <f t="shared" si="14"/>
        <v>-52000</v>
      </c>
      <c r="I23" s="77">
        <f t="shared" ref="I23:O23" si="15">-I22</f>
        <v>-52000</v>
      </c>
      <c r="J23" s="77">
        <f t="shared" si="15"/>
        <v>-14000</v>
      </c>
      <c r="K23" s="77">
        <f t="shared" si="15"/>
        <v>-14000</v>
      </c>
      <c r="L23" s="77">
        <f t="shared" si="15"/>
        <v>-14000</v>
      </c>
      <c r="M23" s="77">
        <f t="shared" si="15"/>
        <v>-14000</v>
      </c>
      <c r="N23" s="77">
        <f t="shared" si="15"/>
        <v>-14000</v>
      </c>
      <c r="O23" s="56">
        <f t="shared" si="15"/>
        <v>0</v>
      </c>
      <c r="P23" s="56">
        <f t="shared" ref="P23:Z23" si="16">-P22</f>
        <v>0</v>
      </c>
      <c r="Q23" s="56">
        <f t="shared" si="16"/>
        <v>0</v>
      </c>
      <c r="R23" s="56">
        <f t="shared" si="16"/>
        <v>0</v>
      </c>
      <c r="S23" s="56">
        <f t="shared" si="16"/>
        <v>0</v>
      </c>
      <c r="T23" s="56">
        <f t="shared" si="16"/>
        <v>0</v>
      </c>
      <c r="U23" s="56">
        <f t="shared" si="16"/>
        <v>0</v>
      </c>
      <c r="V23" s="56">
        <f t="shared" si="16"/>
        <v>0</v>
      </c>
      <c r="W23" s="56">
        <f t="shared" si="16"/>
        <v>0</v>
      </c>
      <c r="X23" s="56">
        <f t="shared" si="16"/>
        <v>0</v>
      </c>
      <c r="Y23" s="56">
        <f t="shared" si="16"/>
        <v>0</v>
      </c>
      <c r="Z23" s="56">
        <f t="shared" si="16"/>
        <v>0</v>
      </c>
    </row>
    <row r="24" spans="1:26" s="4" customFormat="1" ht="14.4" x14ac:dyDescent="0.25">
      <c r="A24" s="14" t="s">
        <v>38</v>
      </c>
      <c r="B24" s="84">
        <v>0</v>
      </c>
      <c r="C24" s="84">
        <v>0</v>
      </c>
      <c r="D24" s="84">
        <v>0</v>
      </c>
      <c r="E24" s="84">
        <v>0</v>
      </c>
      <c r="F24" s="84">
        <v>0</v>
      </c>
      <c r="G24" s="84">
        <v>0</v>
      </c>
      <c r="H24" s="84">
        <v>0</v>
      </c>
      <c r="I24" s="84">
        <v>0</v>
      </c>
      <c r="J24" s="84">
        <v>0</v>
      </c>
      <c r="K24" s="84">
        <v>0</v>
      </c>
      <c r="L24" s="84">
        <v>0</v>
      </c>
      <c r="M24" s="84">
        <v>0</v>
      </c>
      <c r="N24" s="84">
        <v>0</v>
      </c>
      <c r="O24" s="84">
        <v>0</v>
      </c>
      <c r="P24" s="84">
        <v>0</v>
      </c>
      <c r="Q24" s="84">
        <v>0</v>
      </c>
      <c r="R24" s="84">
        <v>0</v>
      </c>
      <c r="S24" s="84">
        <v>0</v>
      </c>
      <c r="T24" s="84">
        <v>0</v>
      </c>
      <c r="U24" s="84">
        <v>0</v>
      </c>
      <c r="V24" s="84">
        <v>0</v>
      </c>
      <c r="W24" s="84">
        <v>0</v>
      </c>
      <c r="X24" s="84">
        <v>0</v>
      </c>
      <c r="Y24" s="84">
        <v>0</v>
      </c>
      <c r="Z24" s="84">
        <v>0</v>
      </c>
    </row>
    <row r="25" spans="1:26" s="4" customFormat="1" ht="14.4" x14ac:dyDescent="0.25">
      <c r="A25" s="14" t="s">
        <v>39</v>
      </c>
      <c r="B25" s="84">
        <v>0</v>
      </c>
      <c r="C25" s="84">
        <v>0</v>
      </c>
      <c r="D25" s="84">
        <v>0</v>
      </c>
      <c r="E25" s="84">
        <v>0</v>
      </c>
      <c r="F25" s="84">
        <v>0</v>
      </c>
      <c r="G25" s="84">
        <v>0</v>
      </c>
      <c r="H25" s="84">
        <v>0</v>
      </c>
      <c r="I25" s="84">
        <v>0</v>
      </c>
      <c r="J25" s="84">
        <v>0</v>
      </c>
      <c r="K25" s="84">
        <v>0</v>
      </c>
      <c r="L25" s="84">
        <v>0</v>
      </c>
      <c r="M25" s="84">
        <v>0</v>
      </c>
      <c r="N25" s="84">
        <v>0</v>
      </c>
      <c r="O25" s="84">
        <v>0</v>
      </c>
      <c r="P25" s="84">
        <v>0</v>
      </c>
      <c r="Q25" s="84">
        <v>0</v>
      </c>
      <c r="R25" s="84">
        <v>0</v>
      </c>
      <c r="S25" s="84">
        <v>0</v>
      </c>
      <c r="T25" s="84">
        <v>0</v>
      </c>
      <c r="U25" s="84">
        <v>0</v>
      </c>
      <c r="V25" s="84">
        <v>0</v>
      </c>
      <c r="W25" s="84">
        <v>0</v>
      </c>
      <c r="X25" s="84">
        <v>0</v>
      </c>
      <c r="Y25" s="84">
        <v>0</v>
      </c>
      <c r="Z25" s="84">
        <v>0</v>
      </c>
    </row>
    <row r="26" spans="1:26" s="4" customFormat="1" ht="14.4" x14ac:dyDescent="0.25">
      <c r="A26" s="14" t="s">
        <v>40</v>
      </c>
      <c r="B26" s="84">
        <v>0</v>
      </c>
      <c r="C26" s="84">
        <v>0</v>
      </c>
      <c r="D26" s="84">
        <v>0</v>
      </c>
      <c r="E26" s="84">
        <v>0</v>
      </c>
      <c r="F26" s="84">
        <v>0</v>
      </c>
      <c r="G26" s="84">
        <v>0</v>
      </c>
      <c r="H26" s="84">
        <v>0</v>
      </c>
      <c r="I26" s="84">
        <v>0</v>
      </c>
      <c r="J26" s="84">
        <v>0</v>
      </c>
      <c r="K26" s="84">
        <v>0</v>
      </c>
      <c r="L26" s="84">
        <v>0</v>
      </c>
      <c r="M26" s="84">
        <v>0</v>
      </c>
      <c r="N26" s="84">
        <v>0</v>
      </c>
      <c r="O26" s="84">
        <v>0</v>
      </c>
      <c r="P26" s="84">
        <v>0</v>
      </c>
      <c r="Q26" s="84">
        <v>0</v>
      </c>
      <c r="R26" s="84">
        <v>0</v>
      </c>
      <c r="S26" s="84">
        <v>0</v>
      </c>
      <c r="T26" s="84">
        <v>0</v>
      </c>
      <c r="U26" s="84">
        <v>0</v>
      </c>
      <c r="V26" s="84">
        <v>0</v>
      </c>
      <c r="W26" s="84">
        <v>0</v>
      </c>
      <c r="X26" s="84">
        <v>0</v>
      </c>
      <c r="Y26" s="84">
        <v>0</v>
      </c>
      <c r="Z26" s="84">
        <v>0</v>
      </c>
    </row>
    <row r="27" spans="1:26" s="4" customFormat="1" ht="14.4" x14ac:dyDescent="0.25">
      <c r="A27" s="14" t="s">
        <v>41</v>
      </c>
      <c r="B27" s="84">
        <v>0</v>
      </c>
      <c r="C27" s="84">
        <v>0</v>
      </c>
      <c r="D27" s="84">
        <v>0</v>
      </c>
      <c r="E27" s="84">
        <v>0</v>
      </c>
      <c r="F27" s="84">
        <v>0</v>
      </c>
      <c r="G27" s="84">
        <v>0</v>
      </c>
      <c r="H27" s="84">
        <v>0</v>
      </c>
      <c r="I27" s="84">
        <v>0</v>
      </c>
      <c r="J27" s="84">
        <v>0</v>
      </c>
      <c r="K27" s="84">
        <v>0</v>
      </c>
      <c r="L27" s="84">
        <v>0</v>
      </c>
      <c r="M27" s="84">
        <v>0</v>
      </c>
      <c r="N27" s="84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39">
        <v>0</v>
      </c>
    </row>
    <row r="28" spans="1:26" s="4" customFormat="1" ht="14.4" x14ac:dyDescent="0.25">
      <c r="A28" s="14" t="s">
        <v>42</v>
      </c>
      <c r="B28" s="84">
        <f>'Debt Schedule_Budget'!B3</f>
        <v>0</v>
      </c>
      <c r="C28" s="84">
        <f>'Debt Schedule_Budget'!C3</f>
        <v>0</v>
      </c>
      <c r="D28" s="84">
        <f>'Debt Schedule_Budget'!D3</f>
        <v>0</v>
      </c>
      <c r="E28" s="84">
        <f>'Debt Schedule_Budget'!E3</f>
        <v>0</v>
      </c>
      <c r="F28" s="84">
        <f>'Debt Schedule_Budget'!F3</f>
        <v>0</v>
      </c>
      <c r="G28" s="84">
        <f>'Debt Schedule_Budget'!G3</f>
        <v>7000</v>
      </c>
      <c r="H28" s="84">
        <f>'Debt Schedule_Budget'!H3</f>
        <v>10000</v>
      </c>
      <c r="I28" s="84">
        <f>'Debt Schedule_Budget'!I3</f>
        <v>36000</v>
      </c>
      <c r="J28" s="84">
        <f>'Debt Schedule_Budget'!J3</f>
        <v>0</v>
      </c>
      <c r="K28" s="84">
        <f>'Debt Schedule_Budget'!K3</f>
        <v>0</v>
      </c>
      <c r="L28" s="84">
        <f>'Debt Schedule_Budget'!L3</f>
        <v>0</v>
      </c>
      <c r="M28" s="84">
        <f>'Debt Schedule_Budget'!M3</f>
        <v>0</v>
      </c>
      <c r="N28" s="84">
        <f>'Debt Schedule_Budget'!N3</f>
        <v>0</v>
      </c>
      <c r="O28" s="84">
        <f>'Debt Schedule_Budget'!O3</f>
        <v>0</v>
      </c>
      <c r="P28" s="84">
        <f>'Debt Schedule_Budget'!P3</f>
        <v>0</v>
      </c>
      <c r="Q28" s="84">
        <f>'Debt Schedule_Budget'!Q3</f>
        <v>0</v>
      </c>
      <c r="R28" s="84">
        <f>'Debt Schedule_Budget'!R3</f>
        <v>0</v>
      </c>
      <c r="S28" s="84">
        <f>'Debt Schedule_Budget'!S3</f>
        <v>0</v>
      </c>
      <c r="T28" s="84">
        <f>'Debt Schedule_Budget'!T3</f>
        <v>0</v>
      </c>
      <c r="U28" s="84">
        <f>'Debt Schedule_Budget'!U3</f>
        <v>0</v>
      </c>
      <c r="V28" s="84">
        <f>'Debt Schedule_Budget'!V3</f>
        <v>0</v>
      </c>
      <c r="W28" s="84">
        <f>'Debt Schedule_Budget'!W3</f>
        <v>0</v>
      </c>
      <c r="X28" s="84">
        <f>'Debt Schedule_Budget'!X3</f>
        <v>0</v>
      </c>
      <c r="Y28" s="84">
        <f>'Debt Schedule_Budget'!Y3</f>
        <v>0</v>
      </c>
      <c r="Z28" s="84">
        <f>'Debt Schedule_Budget'!Z3</f>
        <v>0</v>
      </c>
    </row>
    <row r="29" spans="1:26" s="4" customFormat="1" ht="14.4" x14ac:dyDescent="0.25">
      <c r="A29" s="14" t="s">
        <v>43</v>
      </c>
      <c r="B29" s="84">
        <f>'Debt Schedule_Budget'!B4</f>
        <v>0</v>
      </c>
      <c r="C29" s="84">
        <f>'Debt Schedule_Budget'!C4</f>
        <v>0</v>
      </c>
      <c r="D29" s="84">
        <f>'Debt Schedule_Budget'!D4</f>
        <v>0</v>
      </c>
      <c r="E29" s="84">
        <f>'Debt Schedule_Budget'!E4</f>
        <v>0</v>
      </c>
      <c r="F29" s="84">
        <f>'Debt Schedule_Budget'!F4</f>
        <v>0</v>
      </c>
      <c r="G29" s="84">
        <f>'Debt Schedule_Budget'!G4</f>
        <v>0</v>
      </c>
      <c r="H29" s="84">
        <f>'Debt Schedule_Budget'!H4</f>
        <v>0</v>
      </c>
      <c r="I29" s="84">
        <f>'Debt Schedule_Budget'!I4</f>
        <v>0</v>
      </c>
      <c r="J29" s="84">
        <f>'Debt Schedule_Budget'!J4</f>
        <v>5000</v>
      </c>
      <c r="K29" s="84">
        <f>'Debt Schedule_Budget'!K4</f>
        <v>48000</v>
      </c>
      <c r="L29" s="84">
        <f>'Debt Schedule_Budget'!L4</f>
        <v>0</v>
      </c>
      <c r="M29" s="84">
        <f>'Debt Schedule_Budget'!M4</f>
        <v>0</v>
      </c>
      <c r="N29" s="84">
        <f>'Debt Schedule_Budget'!N4</f>
        <v>0</v>
      </c>
      <c r="O29" s="84">
        <f>'Debt Schedule_Budget'!O4</f>
        <v>0</v>
      </c>
      <c r="P29" s="84">
        <f>'Debt Schedule_Budget'!P4</f>
        <v>0</v>
      </c>
      <c r="Q29" s="84">
        <f>'Debt Schedule_Budget'!Q4</f>
        <v>0</v>
      </c>
      <c r="R29" s="84">
        <f>'Debt Schedule_Budget'!R4</f>
        <v>0</v>
      </c>
      <c r="S29" s="84">
        <f>'Debt Schedule_Budget'!S4</f>
        <v>0</v>
      </c>
      <c r="T29" s="84">
        <f>'Debt Schedule_Budget'!T4</f>
        <v>0</v>
      </c>
      <c r="U29" s="84">
        <f>'Debt Schedule_Budget'!U4</f>
        <v>0</v>
      </c>
      <c r="V29" s="84">
        <f>'Debt Schedule_Budget'!V4</f>
        <v>0</v>
      </c>
      <c r="W29" s="84">
        <f>'Debt Schedule_Budget'!W4</f>
        <v>0</v>
      </c>
      <c r="X29" s="84">
        <f>'Debt Schedule_Budget'!X4</f>
        <v>0</v>
      </c>
      <c r="Y29" s="84">
        <f>'Debt Schedule_Budget'!Y4</f>
        <v>0</v>
      </c>
      <c r="Z29" s="84">
        <f>'Debt Schedule_Budget'!Z4</f>
        <v>0</v>
      </c>
    </row>
    <row r="30" spans="1:26" s="4" customFormat="1" ht="14.4" x14ac:dyDescent="0.25">
      <c r="A30" s="14" t="s">
        <v>2</v>
      </c>
      <c r="B30" s="84">
        <v>0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</row>
    <row r="31" spans="1:26" s="2" customFormat="1" ht="14.4" x14ac:dyDescent="0.2">
      <c r="A31" s="16" t="s">
        <v>44</v>
      </c>
      <c r="B31" s="80">
        <f t="shared" ref="B31:O31" si="17">B24+B26-B27+B30+B28-B29</f>
        <v>0</v>
      </c>
      <c r="C31" s="80">
        <f t="shared" si="17"/>
        <v>0</v>
      </c>
      <c r="D31" s="80">
        <f t="shared" si="17"/>
        <v>0</v>
      </c>
      <c r="E31" s="80">
        <f t="shared" si="17"/>
        <v>0</v>
      </c>
      <c r="F31" s="80">
        <f>F24+F26-F27+F30+F28-F29</f>
        <v>0</v>
      </c>
      <c r="G31" s="80">
        <f t="shared" si="17"/>
        <v>7000</v>
      </c>
      <c r="H31" s="80">
        <f>H24+H26-H27+H30+H28-H29-H30</f>
        <v>10000</v>
      </c>
      <c r="I31" s="83">
        <f>I24+I25-I27+I28-I29</f>
        <v>36000</v>
      </c>
      <c r="J31" s="83">
        <f>J24+J25-J27+J28-J29</f>
        <v>-5000</v>
      </c>
      <c r="K31" s="80">
        <f t="shared" si="17"/>
        <v>-48000</v>
      </c>
      <c r="L31" s="80">
        <f t="shared" si="17"/>
        <v>0</v>
      </c>
      <c r="M31" s="80">
        <f t="shared" si="17"/>
        <v>0</v>
      </c>
      <c r="N31" s="80">
        <f>N24+N26-N27+N30+N28-N29</f>
        <v>0</v>
      </c>
      <c r="O31" s="55">
        <f t="shared" si="17"/>
        <v>0</v>
      </c>
      <c r="P31" s="55">
        <f t="shared" ref="P31:Z31" si="18">P24+P26-P27+P30+P28-P29</f>
        <v>0</v>
      </c>
      <c r="Q31" s="55">
        <f t="shared" si="18"/>
        <v>0</v>
      </c>
      <c r="R31" s="55">
        <f t="shared" si="18"/>
        <v>0</v>
      </c>
      <c r="S31" s="55">
        <f t="shared" si="18"/>
        <v>0</v>
      </c>
      <c r="T31" s="55">
        <f t="shared" si="18"/>
        <v>0</v>
      </c>
      <c r="U31" s="55">
        <f t="shared" si="18"/>
        <v>0</v>
      </c>
      <c r="V31" s="55">
        <f t="shared" si="18"/>
        <v>0</v>
      </c>
      <c r="W31" s="55">
        <f t="shared" si="18"/>
        <v>0</v>
      </c>
      <c r="X31" s="55">
        <f t="shared" si="18"/>
        <v>0</v>
      </c>
      <c r="Y31" s="55">
        <f t="shared" si="18"/>
        <v>0</v>
      </c>
      <c r="Z31" s="55">
        <f t="shared" si="18"/>
        <v>0</v>
      </c>
    </row>
    <row r="32" spans="1:26" s="2" customFormat="1" ht="14.4" x14ac:dyDescent="0.2">
      <c r="A32" s="16" t="s">
        <v>45</v>
      </c>
      <c r="B32" s="80">
        <f>B21+B23+B31</f>
        <v>-975.76573539220408</v>
      </c>
      <c r="C32" s="80">
        <f t="shared" ref="C32:F32" si="19">C21+C23+C31</f>
        <v>16677.350526855127</v>
      </c>
      <c r="D32" s="80">
        <f t="shared" si="19"/>
        <v>36711.862102769315</v>
      </c>
      <c r="E32" s="80">
        <f t="shared" si="19"/>
        <v>35611.923266038415</v>
      </c>
      <c r="F32" s="80">
        <f t="shared" si="19"/>
        <v>-48633.65260079407</v>
      </c>
      <c r="G32" s="80">
        <f>G21+G23+G31</f>
        <v>-2651.9307243855874</v>
      </c>
      <c r="H32" s="80">
        <f t="shared" ref="H32:O32" si="20">H21+H23+H31</f>
        <v>11977.433231120005</v>
      </c>
      <c r="I32" s="80">
        <f t="shared" si="20"/>
        <v>16239.152576467997</v>
      </c>
      <c r="J32" s="80">
        <f t="shared" si="20"/>
        <v>16285.145928913851</v>
      </c>
      <c r="K32" s="80">
        <f t="shared" si="20"/>
        <v>24478.657451455452</v>
      </c>
      <c r="L32" s="80">
        <f t="shared" si="20"/>
        <v>26234.140677172829</v>
      </c>
      <c r="M32" s="80">
        <f t="shared" si="20"/>
        <v>39551.645769819093</v>
      </c>
      <c r="N32" s="80">
        <f t="shared" si="20"/>
        <v>34223.079219772822</v>
      </c>
      <c r="O32" s="55">
        <f t="shared" si="20"/>
        <v>0</v>
      </c>
      <c r="P32" s="55">
        <f t="shared" ref="P32:Z32" si="21">P21+P23+P31</f>
        <v>0</v>
      </c>
      <c r="Q32" s="55">
        <f t="shared" si="21"/>
        <v>0</v>
      </c>
      <c r="R32" s="55">
        <f t="shared" si="21"/>
        <v>0</v>
      </c>
      <c r="S32" s="55">
        <f t="shared" si="21"/>
        <v>0</v>
      </c>
      <c r="T32" s="55">
        <f t="shared" si="21"/>
        <v>0</v>
      </c>
      <c r="U32" s="55">
        <f t="shared" si="21"/>
        <v>0</v>
      </c>
      <c r="V32" s="55">
        <f t="shared" si="21"/>
        <v>0</v>
      </c>
      <c r="W32" s="55">
        <f t="shared" si="21"/>
        <v>0</v>
      </c>
      <c r="X32" s="55">
        <f t="shared" si="21"/>
        <v>0</v>
      </c>
      <c r="Y32" s="55">
        <f t="shared" si="21"/>
        <v>0</v>
      </c>
      <c r="Z32" s="55">
        <f t="shared" si="21"/>
        <v>0</v>
      </c>
    </row>
    <row r="33" spans="1:26" s="2" customFormat="1" ht="14.4" x14ac:dyDescent="0.2">
      <c r="A33" s="16" t="s">
        <v>46</v>
      </c>
      <c r="B33" s="83">
        <f t="shared" ref="B33:Z33" si="22">B32+B2</f>
        <v>7024.2342646077959</v>
      </c>
      <c r="C33" s="83">
        <f t="shared" si="22"/>
        <v>23701.584791462923</v>
      </c>
      <c r="D33" s="83">
        <f t="shared" si="22"/>
        <v>60413.446894232242</v>
      </c>
      <c r="E33" s="83">
        <f t="shared" si="22"/>
        <v>96025.370160270657</v>
      </c>
      <c r="F33" s="83">
        <f t="shared" si="22"/>
        <v>47391.717559476587</v>
      </c>
      <c r="G33" s="83">
        <f t="shared" si="22"/>
        <v>44739.786835090999</v>
      </c>
      <c r="H33" s="83">
        <f t="shared" si="22"/>
        <v>56717.220066211004</v>
      </c>
      <c r="I33" s="83">
        <f t="shared" si="22"/>
        <v>72956.372642678994</v>
      </c>
      <c r="J33" s="83">
        <f t="shared" si="22"/>
        <v>89241.518571592838</v>
      </c>
      <c r="K33" s="83">
        <f t="shared" si="22"/>
        <v>113720.17602304829</v>
      </c>
      <c r="L33" s="83">
        <f t="shared" si="22"/>
        <v>139954.31670022113</v>
      </c>
      <c r="M33" s="83">
        <f t="shared" si="22"/>
        <v>179505.96247004022</v>
      </c>
      <c r="N33" s="83">
        <f t="shared" si="22"/>
        <v>213729.04168981305</v>
      </c>
      <c r="O33" s="55">
        <f t="shared" si="22"/>
        <v>0</v>
      </c>
      <c r="P33" s="55">
        <f t="shared" si="22"/>
        <v>0</v>
      </c>
      <c r="Q33" s="55">
        <f t="shared" si="22"/>
        <v>0</v>
      </c>
      <c r="R33" s="55">
        <f t="shared" si="22"/>
        <v>0</v>
      </c>
      <c r="S33" s="55">
        <f t="shared" si="22"/>
        <v>0</v>
      </c>
      <c r="T33" s="55">
        <f t="shared" si="22"/>
        <v>0</v>
      </c>
      <c r="U33" s="55">
        <f t="shared" si="22"/>
        <v>0</v>
      </c>
      <c r="V33" s="55">
        <f t="shared" si="22"/>
        <v>0</v>
      </c>
      <c r="W33" s="55">
        <f t="shared" si="22"/>
        <v>0</v>
      </c>
      <c r="X33" s="55">
        <f t="shared" si="22"/>
        <v>0</v>
      </c>
      <c r="Y33" s="55">
        <f t="shared" si="22"/>
        <v>0</v>
      </c>
      <c r="Z33" s="55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topLeftCell="A82" workbookViewId="0">
      <selection activeCell="H98" sqref="H98"/>
    </sheetView>
  </sheetViews>
  <sheetFormatPr defaultRowHeight="15.05" x14ac:dyDescent="0.3"/>
  <cols>
    <col min="1" max="1" width="16.88671875" bestFit="1" customWidth="1"/>
    <col min="2" max="2" width="7.33203125" bestFit="1" customWidth="1"/>
    <col min="3" max="3" width="15.5546875" bestFit="1" customWidth="1"/>
    <col min="4" max="4" width="17.44140625" bestFit="1" customWidth="1"/>
    <col min="5" max="5" width="12" bestFit="1" customWidth="1"/>
    <col min="6" max="6" width="12.6640625" bestFit="1" customWidth="1"/>
    <col min="7" max="7" width="30.44140625" bestFit="1" customWidth="1"/>
    <col min="8" max="8" width="10.33203125" bestFit="1" customWidth="1"/>
  </cols>
  <sheetData>
    <row r="1" spans="1:8" x14ac:dyDescent="0.3">
      <c r="A1" t="s">
        <v>84</v>
      </c>
      <c r="B1" t="s">
        <v>81</v>
      </c>
      <c r="C1" t="s">
        <v>92</v>
      </c>
      <c r="D1" t="s">
        <v>11</v>
      </c>
      <c r="E1" t="s">
        <v>14</v>
      </c>
      <c r="F1" t="s">
        <v>12</v>
      </c>
      <c r="G1" t="s">
        <v>13</v>
      </c>
      <c r="H1" t="s">
        <v>93</v>
      </c>
    </row>
    <row r="2" spans="1:8" x14ac:dyDescent="0.3">
      <c r="A2" t="s">
        <v>1</v>
      </c>
      <c r="B2">
        <v>2023</v>
      </c>
      <c r="C2" t="s">
        <v>89</v>
      </c>
      <c r="D2">
        <v>500</v>
      </c>
      <c r="F2">
        <v>73</v>
      </c>
      <c r="G2">
        <v>36500</v>
      </c>
      <c r="H2">
        <v>500</v>
      </c>
    </row>
    <row r="3" spans="1:8" x14ac:dyDescent="0.3">
      <c r="A3" t="s">
        <v>1</v>
      </c>
      <c r="B3">
        <v>2023</v>
      </c>
      <c r="C3" t="s">
        <v>90</v>
      </c>
      <c r="D3">
        <v>750</v>
      </c>
      <c r="F3">
        <v>73</v>
      </c>
      <c r="G3">
        <v>54750</v>
      </c>
      <c r="H3">
        <v>750</v>
      </c>
    </row>
    <row r="4" spans="1:8" x14ac:dyDescent="0.3">
      <c r="A4" t="s">
        <v>1</v>
      </c>
      <c r="B4">
        <v>2023</v>
      </c>
      <c r="C4" t="s">
        <v>91</v>
      </c>
      <c r="D4">
        <v>700</v>
      </c>
      <c r="F4">
        <v>73</v>
      </c>
      <c r="G4">
        <v>51100</v>
      </c>
      <c r="H4">
        <v>700</v>
      </c>
    </row>
    <row r="5" spans="1:8" x14ac:dyDescent="0.3">
      <c r="A5" t="s">
        <v>1</v>
      </c>
      <c r="B5">
        <v>2023</v>
      </c>
      <c r="C5" t="s">
        <v>87</v>
      </c>
      <c r="D5">
        <v>300</v>
      </c>
      <c r="F5">
        <v>74</v>
      </c>
      <c r="G5">
        <v>22200</v>
      </c>
      <c r="H5">
        <v>300</v>
      </c>
    </row>
    <row r="6" spans="1:8" x14ac:dyDescent="0.3">
      <c r="A6" t="s">
        <v>1</v>
      </c>
      <c r="B6">
        <v>2024</v>
      </c>
      <c r="C6" t="s">
        <v>89</v>
      </c>
      <c r="D6">
        <v>850</v>
      </c>
      <c r="F6">
        <v>75</v>
      </c>
      <c r="G6">
        <v>63750</v>
      </c>
      <c r="H6">
        <v>850</v>
      </c>
    </row>
    <row r="7" spans="1:8" x14ac:dyDescent="0.3">
      <c r="A7" t="s">
        <v>1</v>
      </c>
      <c r="B7">
        <v>2024</v>
      </c>
      <c r="C7" t="s">
        <v>90</v>
      </c>
      <c r="D7">
        <v>1000</v>
      </c>
      <c r="F7">
        <v>75</v>
      </c>
      <c r="G7">
        <v>75000</v>
      </c>
      <c r="H7">
        <v>1000</v>
      </c>
    </row>
    <row r="8" spans="1:8" x14ac:dyDescent="0.3">
      <c r="A8" t="s">
        <v>1</v>
      </c>
      <c r="B8">
        <v>2024</v>
      </c>
      <c r="C8" t="s">
        <v>91</v>
      </c>
      <c r="D8">
        <v>690</v>
      </c>
      <c r="F8">
        <v>77</v>
      </c>
      <c r="G8">
        <v>53130</v>
      </c>
      <c r="H8">
        <v>690</v>
      </c>
    </row>
    <row r="9" spans="1:8" x14ac:dyDescent="0.3">
      <c r="A9" t="s">
        <v>1</v>
      </c>
      <c r="B9">
        <v>2024</v>
      </c>
      <c r="C9" t="s">
        <v>87</v>
      </c>
      <c r="D9">
        <v>300</v>
      </c>
      <c r="F9">
        <v>77</v>
      </c>
      <c r="G9">
        <v>23100</v>
      </c>
      <c r="H9">
        <v>300</v>
      </c>
    </row>
    <row r="10" spans="1:8" x14ac:dyDescent="0.3">
      <c r="A10" t="s">
        <v>1</v>
      </c>
      <c r="B10">
        <v>2025</v>
      </c>
      <c r="C10" t="s">
        <v>89</v>
      </c>
      <c r="D10">
        <v>800</v>
      </c>
      <c r="F10">
        <v>77</v>
      </c>
      <c r="G10">
        <v>61600</v>
      </c>
      <c r="H10">
        <v>800</v>
      </c>
    </row>
    <row r="11" spans="1:8" x14ac:dyDescent="0.3">
      <c r="A11" t="s">
        <v>1</v>
      </c>
      <c r="B11">
        <v>2025</v>
      </c>
      <c r="C11" t="s">
        <v>90</v>
      </c>
      <c r="D11">
        <v>950</v>
      </c>
      <c r="F11">
        <v>82</v>
      </c>
      <c r="G11">
        <v>77900</v>
      </c>
      <c r="H11">
        <v>950</v>
      </c>
    </row>
    <row r="12" spans="1:8" x14ac:dyDescent="0.3">
      <c r="A12" t="s">
        <v>1</v>
      </c>
      <c r="B12">
        <v>2025</v>
      </c>
      <c r="C12" t="s">
        <v>91</v>
      </c>
      <c r="D12">
        <v>780</v>
      </c>
      <c r="F12">
        <v>82</v>
      </c>
      <c r="G12">
        <v>63960</v>
      </c>
      <c r="H12">
        <v>780</v>
      </c>
    </row>
    <row r="13" spans="1:8" x14ac:dyDescent="0.3">
      <c r="A13" t="s">
        <v>1</v>
      </c>
      <c r="B13">
        <v>2025</v>
      </c>
      <c r="C13" t="s">
        <v>87</v>
      </c>
      <c r="D13">
        <v>780</v>
      </c>
      <c r="F13">
        <v>82</v>
      </c>
      <c r="G13">
        <v>63960</v>
      </c>
      <c r="H13">
        <v>780</v>
      </c>
    </row>
    <row r="14" spans="1:8" x14ac:dyDescent="0.3">
      <c r="A14" t="s">
        <v>3</v>
      </c>
      <c r="B14">
        <v>2023</v>
      </c>
      <c r="C14" t="s">
        <v>89</v>
      </c>
      <c r="D14">
        <v>200</v>
      </c>
      <c r="F14">
        <v>210</v>
      </c>
      <c r="G14">
        <v>42000</v>
      </c>
      <c r="H14">
        <v>200</v>
      </c>
    </row>
    <row r="15" spans="1:8" x14ac:dyDescent="0.3">
      <c r="A15" t="s">
        <v>3</v>
      </c>
      <c r="B15">
        <v>2023</v>
      </c>
      <c r="C15" t="s">
        <v>90</v>
      </c>
      <c r="D15">
        <v>200</v>
      </c>
      <c r="F15">
        <v>210</v>
      </c>
      <c r="G15">
        <v>42000</v>
      </c>
      <c r="H15">
        <v>200</v>
      </c>
    </row>
    <row r="16" spans="1:8" x14ac:dyDescent="0.3">
      <c r="A16" t="s">
        <v>3</v>
      </c>
      <c r="B16">
        <v>2023</v>
      </c>
      <c r="C16" t="s">
        <v>91</v>
      </c>
      <c r="D16">
        <v>150</v>
      </c>
      <c r="F16">
        <v>230</v>
      </c>
      <c r="G16">
        <v>34500</v>
      </c>
      <c r="H16">
        <v>150</v>
      </c>
    </row>
    <row r="17" spans="1:8" x14ac:dyDescent="0.3">
      <c r="A17" t="s">
        <v>3</v>
      </c>
      <c r="B17">
        <v>2023</v>
      </c>
      <c r="C17" t="s">
        <v>87</v>
      </c>
      <c r="D17">
        <v>70</v>
      </c>
      <c r="F17">
        <v>230</v>
      </c>
      <c r="G17">
        <v>16100</v>
      </c>
      <c r="H17">
        <v>70</v>
      </c>
    </row>
    <row r="18" spans="1:8" x14ac:dyDescent="0.3">
      <c r="A18" t="s">
        <v>3</v>
      </c>
      <c r="B18">
        <v>2024</v>
      </c>
      <c r="C18" t="s">
        <v>89</v>
      </c>
      <c r="D18">
        <v>130</v>
      </c>
      <c r="F18">
        <v>230</v>
      </c>
      <c r="G18">
        <v>29900</v>
      </c>
      <c r="H18">
        <v>130</v>
      </c>
    </row>
    <row r="19" spans="1:8" x14ac:dyDescent="0.3">
      <c r="A19" t="s">
        <v>3</v>
      </c>
      <c r="B19">
        <v>2024</v>
      </c>
      <c r="C19" t="s">
        <v>90</v>
      </c>
      <c r="D19">
        <v>200</v>
      </c>
      <c r="F19">
        <v>230</v>
      </c>
      <c r="G19">
        <v>46000</v>
      </c>
      <c r="H19">
        <v>200</v>
      </c>
    </row>
    <row r="20" spans="1:8" x14ac:dyDescent="0.3">
      <c r="A20" t="s">
        <v>3</v>
      </c>
      <c r="B20">
        <v>2024</v>
      </c>
      <c r="C20" t="s">
        <v>91</v>
      </c>
      <c r="D20">
        <v>110</v>
      </c>
      <c r="F20">
        <v>240</v>
      </c>
      <c r="G20">
        <v>26400</v>
      </c>
      <c r="H20">
        <v>110</v>
      </c>
    </row>
    <row r="21" spans="1:8" x14ac:dyDescent="0.3">
      <c r="A21" t="s">
        <v>3</v>
      </c>
      <c r="B21">
        <v>2024</v>
      </c>
      <c r="C21" t="s">
        <v>87</v>
      </c>
      <c r="D21">
        <v>90</v>
      </c>
      <c r="F21">
        <v>240</v>
      </c>
      <c r="G21">
        <v>21600</v>
      </c>
      <c r="H21">
        <v>90</v>
      </c>
    </row>
    <row r="22" spans="1:8" x14ac:dyDescent="0.3">
      <c r="A22" t="s">
        <v>3</v>
      </c>
      <c r="B22">
        <v>2025</v>
      </c>
      <c r="C22" t="s">
        <v>89</v>
      </c>
      <c r="D22">
        <v>150</v>
      </c>
      <c r="F22">
        <v>240</v>
      </c>
      <c r="G22">
        <v>36000</v>
      </c>
      <c r="H22">
        <v>150</v>
      </c>
    </row>
    <row r="23" spans="1:8" x14ac:dyDescent="0.3">
      <c r="A23" t="s">
        <v>3</v>
      </c>
      <c r="B23">
        <v>2025</v>
      </c>
      <c r="C23" t="s">
        <v>90</v>
      </c>
      <c r="D23">
        <v>200</v>
      </c>
      <c r="F23">
        <v>240</v>
      </c>
      <c r="G23">
        <v>48000</v>
      </c>
      <c r="H23">
        <v>200</v>
      </c>
    </row>
    <row r="24" spans="1:8" x14ac:dyDescent="0.3">
      <c r="A24" t="s">
        <v>3</v>
      </c>
      <c r="B24">
        <v>2025</v>
      </c>
      <c r="C24" t="s">
        <v>91</v>
      </c>
      <c r="D24">
        <v>110</v>
      </c>
      <c r="F24">
        <v>240</v>
      </c>
      <c r="G24">
        <v>26400</v>
      </c>
      <c r="H24">
        <v>110</v>
      </c>
    </row>
    <row r="25" spans="1:8" x14ac:dyDescent="0.3">
      <c r="A25" t="s">
        <v>3</v>
      </c>
      <c r="B25">
        <v>2025</v>
      </c>
      <c r="C25" t="s">
        <v>87</v>
      </c>
      <c r="D25">
        <v>110</v>
      </c>
      <c r="F25">
        <v>240</v>
      </c>
      <c r="G25">
        <v>26400</v>
      </c>
      <c r="H25">
        <v>110</v>
      </c>
    </row>
    <row r="26" spans="1:8" x14ac:dyDescent="0.3">
      <c r="A26" t="s">
        <v>4</v>
      </c>
      <c r="B26">
        <v>2023</v>
      </c>
      <c r="C26" t="s">
        <v>89</v>
      </c>
      <c r="D26">
        <v>10000</v>
      </c>
      <c r="F26">
        <v>14.5</v>
      </c>
      <c r="G26">
        <v>145000</v>
      </c>
      <c r="H26">
        <v>10000</v>
      </c>
    </row>
    <row r="27" spans="1:8" x14ac:dyDescent="0.3">
      <c r="A27" t="s">
        <v>4</v>
      </c>
      <c r="B27">
        <v>2023</v>
      </c>
      <c r="C27" t="s">
        <v>90</v>
      </c>
      <c r="D27">
        <v>12000</v>
      </c>
      <c r="F27">
        <v>14.5</v>
      </c>
      <c r="G27">
        <v>174000</v>
      </c>
      <c r="H27">
        <v>12000</v>
      </c>
    </row>
    <row r="28" spans="1:8" x14ac:dyDescent="0.3">
      <c r="A28" t="s">
        <v>4</v>
      </c>
      <c r="B28">
        <v>2023</v>
      </c>
      <c r="C28" t="s">
        <v>91</v>
      </c>
      <c r="D28">
        <v>12000</v>
      </c>
      <c r="F28">
        <v>14.5</v>
      </c>
      <c r="G28">
        <v>174000</v>
      </c>
      <c r="H28">
        <v>12000</v>
      </c>
    </row>
    <row r="29" spans="1:8" x14ac:dyDescent="0.3">
      <c r="A29" t="s">
        <v>4</v>
      </c>
      <c r="B29">
        <v>2023</v>
      </c>
      <c r="C29" t="s">
        <v>87</v>
      </c>
      <c r="D29">
        <v>12000</v>
      </c>
      <c r="F29">
        <v>14.5</v>
      </c>
      <c r="G29">
        <v>174000</v>
      </c>
      <c r="H29">
        <v>12000</v>
      </c>
    </row>
    <row r="30" spans="1:8" x14ac:dyDescent="0.3">
      <c r="A30" t="s">
        <v>4</v>
      </c>
      <c r="B30">
        <v>2024</v>
      </c>
      <c r="C30" t="s">
        <v>89</v>
      </c>
      <c r="D30">
        <v>12000</v>
      </c>
      <c r="F30">
        <v>16</v>
      </c>
      <c r="G30">
        <v>192000</v>
      </c>
      <c r="H30">
        <v>12000</v>
      </c>
    </row>
    <row r="31" spans="1:8" x14ac:dyDescent="0.3">
      <c r="A31" t="s">
        <v>4</v>
      </c>
      <c r="B31">
        <v>2024</v>
      </c>
      <c r="C31" t="s">
        <v>90</v>
      </c>
      <c r="D31">
        <v>10000</v>
      </c>
      <c r="F31">
        <v>16</v>
      </c>
      <c r="G31">
        <v>160000</v>
      </c>
      <c r="H31">
        <v>10000</v>
      </c>
    </row>
    <row r="32" spans="1:8" x14ac:dyDescent="0.3">
      <c r="A32" t="s">
        <v>4</v>
      </c>
      <c r="B32">
        <v>2024</v>
      </c>
      <c r="C32" t="s">
        <v>91</v>
      </c>
      <c r="D32">
        <v>10000</v>
      </c>
      <c r="F32">
        <v>19</v>
      </c>
      <c r="G32">
        <v>190000</v>
      </c>
      <c r="H32">
        <v>10000</v>
      </c>
    </row>
    <row r="33" spans="1:8" x14ac:dyDescent="0.3">
      <c r="A33" t="s">
        <v>4</v>
      </c>
      <c r="B33">
        <v>2024</v>
      </c>
      <c r="C33" t="s">
        <v>87</v>
      </c>
      <c r="D33">
        <v>7000</v>
      </c>
      <c r="F33">
        <v>19</v>
      </c>
      <c r="G33">
        <v>133000</v>
      </c>
      <c r="H33">
        <v>7000</v>
      </c>
    </row>
    <row r="34" spans="1:8" x14ac:dyDescent="0.3">
      <c r="A34" t="s">
        <v>4</v>
      </c>
      <c r="B34">
        <v>2025</v>
      </c>
      <c r="C34" t="s">
        <v>89</v>
      </c>
      <c r="D34">
        <v>10000</v>
      </c>
      <c r="F34">
        <v>19</v>
      </c>
      <c r="G34">
        <v>190000</v>
      </c>
      <c r="H34">
        <v>10000</v>
      </c>
    </row>
    <row r="35" spans="1:8" x14ac:dyDescent="0.3">
      <c r="A35" t="s">
        <v>4</v>
      </c>
      <c r="B35">
        <v>2025</v>
      </c>
      <c r="C35" t="s">
        <v>90</v>
      </c>
      <c r="D35">
        <v>12000</v>
      </c>
      <c r="F35">
        <v>19</v>
      </c>
      <c r="G35">
        <v>228000</v>
      </c>
      <c r="H35">
        <v>12000</v>
      </c>
    </row>
    <row r="36" spans="1:8" x14ac:dyDescent="0.3">
      <c r="A36" t="s">
        <v>4</v>
      </c>
      <c r="B36">
        <v>2025</v>
      </c>
      <c r="C36" t="s">
        <v>91</v>
      </c>
      <c r="D36">
        <v>10000</v>
      </c>
      <c r="F36">
        <v>19</v>
      </c>
      <c r="G36">
        <v>190000</v>
      </c>
      <c r="H36">
        <v>10000</v>
      </c>
    </row>
    <row r="37" spans="1:8" x14ac:dyDescent="0.3">
      <c r="A37" t="s">
        <v>4</v>
      </c>
      <c r="B37">
        <v>2025</v>
      </c>
      <c r="C37" t="s">
        <v>87</v>
      </c>
      <c r="D37">
        <v>10000</v>
      </c>
      <c r="F37">
        <v>19</v>
      </c>
      <c r="G37">
        <v>190000</v>
      </c>
      <c r="H37">
        <v>10000</v>
      </c>
    </row>
    <row r="38" spans="1:8" x14ac:dyDescent="0.3">
      <c r="A38" t="s">
        <v>5</v>
      </c>
      <c r="B38">
        <v>2023</v>
      </c>
      <c r="C38" t="s">
        <v>89</v>
      </c>
      <c r="D38">
        <v>0</v>
      </c>
      <c r="F38">
        <v>0</v>
      </c>
      <c r="G38">
        <v>0</v>
      </c>
      <c r="H38">
        <v>0</v>
      </c>
    </row>
    <row r="39" spans="1:8" x14ac:dyDescent="0.3">
      <c r="A39" t="s">
        <v>5</v>
      </c>
      <c r="B39">
        <v>2023</v>
      </c>
      <c r="C39" t="s">
        <v>90</v>
      </c>
      <c r="D39">
        <v>0</v>
      </c>
      <c r="F39">
        <v>0</v>
      </c>
      <c r="G39">
        <v>0</v>
      </c>
      <c r="H39">
        <v>0</v>
      </c>
    </row>
    <row r="40" spans="1:8" x14ac:dyDescent="0.3">
      <c r="A40" t="s">
        <v>5</v>
      </c>
      <c r="B40">
        <v>2023</v>
      </c>
      <c r="C40" t="s">
        <v>91</v>
      </c>
      <c r="D40">
        <v>0</v>
      </c>
      <c r="F40">
        <v>0</v>
      </c>
      <c r="G40">
        <v>0</v>
      </c>
      <c r="H40">
        <v>0</v>
      </c>
    </row>
    <row r="41" spans="1:8" x14ac:dyDescent="0.3">
      <c r="A41" t="s">
        <v>5</v>
      </c>
      <c r="B41">
        <v>2023</v>
      </c>
      <c r="C41" t="s">
        <v>87</v>
      </c>
      <c r="D41">
        <v>0</v>
      </c>
      <c r="F41">
        <v>0</v>
      </c>
      <c r="G41">
        <v>0</v>
      </c>
      <c r="H41">
        <v>0</v>
      </c>
    </row>
    <row r="42" spans="1:8" x14ac:dyDescent="0.3">
      <c r="A42" t="s">
        <v>5</v>
      </c>
      <c r="B42">
        <v>2024</v>
      </c>
      <c r="C42" t="s">
        <v>89</v>
      </c>
      <c r="D42">
        <v>0</v>
      </c>
      <c r="F42">
        <v>0</v>
      </c>
      <c r="G42">
        <v>0</v>
      </c>
      <c r="H42">
        <v>0</v>
      </c>
    </row>
    <row r="43" spans="1:8" x14ac:dyDescent="0.3">
      <c r="A43" t="s">
        <v>5</v>
      </c>
      <c r="B43">
        <v>2024</v>
      </c>
      <c r="C43" t="s">
        <v>90</v>
      </c>
      <c r="D43">
        <v>250</v>
      </c>
      <c r="F43">
        <v>14</v>
      </c>
      <c r="G43">
        <v>3500</v>
      </c>
      <c r="H43">
        <v>250</v>
      </c>
    </row>
    <row r="44" spans="1:8" x14ac:dyDescent="0.3">
      <c r="A44" t="s">
        <v>5</v>
      </c>
      <c r="B44">
        <v>2024</v>
      </c>
      <c r="C44" t="s">
        <v>91</v>
      </c>
      <c r="D44">
        <v>100</v>
      </c>
      <c r="F44">
        <v>14</v>
      </c>
      <c r="G44">
        <v>1400</v>
      </c>
      <c r="H44">
        <v>100</v>
      </c>
    </row>
    <row r="45" spans="1:8" x14ac:dyDescent="0.3">
      <c r="A45" t="s">
        <v>5</v>
      </c>
      <c r="B45">
        <v>2024</v>
      </c>
      <c r="C45" t="s">
        <v>87</v>
      </c>
      <c r="D45">
        <v>150</v>
      </c>
      <c r="F45">
        <v>14</v>
      </c>
      <c r="G45">
        <v>2100</v>
      </c>
      <c r="H45">
        <v>150</v>
      </c>
    </row>
    <row r="46" spans="1:8" x14ac:dyDescent="0.3">
      <c r="A46" t="s">
        <v>5</v>
      </c>
      <c r="B46">
        <v>2025</v>
      </c>
      <c r="C46" t="s">
        <v>89</v>
      </c>
      <c r="D46">
        <v>1000</v>
      </c>
      <c r="F46">
        <v>14</v>
      </c>
      <c r="G46">
        <v>14000</v>
      </c>
      <c r="H46">
        <v>1000</v>
      </c>
    </row>
    <row r="47" spans="1:8" x14ac:dyDescent="0.3">
      <c r="A47" t="s">
        <v>5</v>
      </c>
      <c r="B47">
        <v>2025</v>
      </c>
      <c r="C47" t="s">
        <v>90</v>
      </c>
      <c r="D47">
        <v>500</v>
      </c>
      <c r="F47">
        <v>18</v>
      </c>
      <c r="G47">
        <v>9000</v>
      </c>
      <c r="H47">
        <v>500</v>
      </c>
    </row>
    <row r="48" spans="1:8" x14ac:dyDescent="0.3">
      <c r="A48" t="s">
        <v>5</v>
      </c>
      <c r="B48">
        <v>2025</v>
      </c>
      <c r="C48" t="s">
        <v>91</v>
      </c>
      <c r="D48">
        <v>150</v>
      </c>
      <c r="F48">
        <v>20</v>
      </c>
      <c r="G48">
        <v>3000</v>
      </c>
      <c r="H48">
        <v>150</v>
      </c>
    </row>
    <row r="49" spans="1:8" x14ac:dyDescent="0.3">
      <c r="A49" t="s">
        <v>5</v>
      </c>
      <c r="B49">
        <v>2025</v>
      </c>
      <c r="C49" t="s">
        <v>87</v>
      </c>
      <c r="D49">
        <v>150</v>
      </c>
      <c r="F49">
        <v>22</v>
      </c>
      <c r="G49">
        <v>3300</v>
      </c>
      <c r="H49">
        <v>150</v>
      </c>
    </row>
    <row r="50" spans="1:8" x14ac:dyDescent="0.3">
      <c r="A50" t="s">
        <v>6</v>
      </c>
      <c r="B50">
        <v>2023</v>
      </c>
      <c r="C50" t="s">
        <v>89</v>
      </c>
      <c r="E50">
        <v>150</v>
      </c>
      <c r="F50">
        <v>65</v>
      </c>
      <c r="G50">
        <v>9750</v>
      </c>
      <c r="H50">
        <v>150</v>
      </c>
    </row>
    <row r="51" spans="1:8" x14ac:dyDescent="0.3">
      <c r="A51" t="s">
        <v>6</v>
      </c>
      <c r="B51">
        <v>2023</v>
      </c>
      <c r="C51" t="s">
        <v>90</v>
      </c>
      <c r="E51">
        <v>180</v>
      </c>
      <c r="F51">
        <v>65</v>
      </c>
      <c r="G51">
        <v>11700</v>
      </c>
      <c r="H51">
        <v>180</v>
      </c>
    </row>
    <row r="52" spans="1:8" x14ac:dyDescent="0.3">
      <c r="A52" t="s">
        <v>6</v>
      </c>
      <c r="B52">
        <v>2023</v>
      </c>
      <c r="C52" t="s">
        <v>91</v>
      </c>
      <c r="E52">
        <v>250</v>
      </c>
      <c r="F52">
        <v>65</v>
      </c>
      <c r="G52">
        <v>16250</v>
      </c>
      <c r="H52">
        <v>250</v>
      </c>
    </row>
    <row r="53" spans="1:8" x14ac:dyDescent="0.3">
      <c r="A53" t="s">
        <v>6</v>
      </c>
      <c r="B53">
        <v>2023</v>
      </c>
      <c r="C53" t="s">
        <v>87</v>
      </c>
      <c r="E53">
        <v>270</v>
      </c>
      <c r="F53">
        <v>65</v>
      </c>
      <c r="G53">
        <v>17550</v>
      </c>
      <c r="H53">
        <v>270</v>
      </c>
    </row>
    <row r="54" spans="1:8" x14ac:dyDescent="0.3">
      <c r="A54" t="s">
        <v>6</v>
      </c>
      <c r="B54">
        <v>2024</v>
      </c>
      <c r="C54" t="s">
        <v>89</v>
      </c>
      <c r="E54">
        <v>270</v>
      </c>
      <c r="F54">
        <v>65</v>
      </c>
      <c r="G54">
        <v>17550</v>
      </c>
      <c r="H54">
        <v>270</v>
      </c>
    </row>
    <row r="55" spans="1:8" x14ac:dyDescent="0.3">
      <c r="A55" t="s">
        <v>6</v>
      </c>
      <c r="B55">
        <v>2024</v>
      </c>
      <c r="C55" t="s">
        <v>90</v>
      </c>
      <c r="E55">
        <v>150</v>
      </c>
      <c r="F55">
        <v>65</v>
      </c>
      <c r="G55">
        <v>9750</v>
      </c>
      <c r="H55">
        <v>150</v>
      </c>
    </row>
    <row r="56" spans="1:8" x14ac:dyDescent="0.3">
      <c r="A56" t="s">
        <v>6</v>
      </c>
      <c r="B56">
        <v>2024</v>
      </c>
      <c r="C56" t="s">
        <v>91</v>
      </c>
      <c r="E56">
        <v>250</v>
      </c>
      <c r="F56">
        <v>65</v>
      </c>
      <c r="G56">
        <v>16250</v>
      </c>
      <c r="H56">
        <v>250</v>
      </c>
    </row>
    <row r="57" spans="1:8" x14ac:dyDescent="0.3">
      <c r="A57" t="s">
        <v>6</v>
      </c>
      <c r="B57">
        <v>2024</v>
      </c>
      <c r="C57" t="s">
        <v>87</v>
      </c>
      <c r="E57">
        <v>200</v>
      </c>
      <c r="F57">
        <v>65</v>
      </c>
      <c r="G57">
        <v>13000</v>
      </c>
      <c r="H57">
        <v>200</v>
      </c>
    </row>
    <row r="58" spans="1:8" x14ac:dyDescent="0.3">
      <c r="A58" t="s">
        <v>6</v>
      </c>
      <c r="B58">
        <v>2025</v>
      </c>
      <c r="C58" t="s">
        <v>89</v>
      </c>
      <c r="E58">
        <v>200</v>
      </c>
      <c r="F58">
        <v>65</v>
      </c>
      <c r="G58">
        <v>13000</v>
      </c>
      <c r="H58">
        <v>200</v>
      </c>
    </row>
    <row r="59" spans="1:8" x14ac:dyDescent="0.3">
      <c r="A59" t="s">
        <v>6</v>
      </c>
      <c r="B59">
        <v>2025</v>
      </c>
      <c r="C59" t="s">
        <v>90</v>
      </c>
      <c r="E59">
        <v>150</v>
      </c>
      <c r="F59">
        <v>65</v>
      </c>
      <c r="G59">
        <v>9750</v>
      </c>
      <c r="H59">
        <v>150</v>
      </c>
    </row>
    <row r="60" spans="1:8" x14ac:dyDescent="0.3">
      <c r="A60" t="s">
        <v>6</v>
      </c>
      <c r="B60">
        <v>2025</v>
      </c>
      <c r="C60" t="s">
        <v>91</v>
      </c>
      <c r="E60">
        <v>80</v>
      </c>
      <c r="F60">
        <v>65</v>
      </c>
      <c r="G60">
        <v>5200</v>
      </c>
      <c r="H60">
        <v>80</v>
      </c>
    </row>
    <row r="61" spans="1:8" x14ac:dyDescent="0.3">
      <c r="A61" t="s">
        <v>6</v>
      </c>
      <c r="B61">
        <v>2025</v>
      </c>
      <c r="C61" t="s">
        <v>87</v>
      </c>
      <c r="E61">
        <v>80</v>
      </c>
      <c r="F61">
        <v>65</v>
      </c>
      <c r="G61">
        <v>5200</v>
      </c>
      <c r="H61">
        <v>80</v>
      </c>
    </row>
    <row r="62" spans="1:8" x14ac:dyDescent="0.3">
      <c r="A62" t="s">
        <v>7</v>
      </c>
      <c r="B62">
        <v>2023</v>
      </c>
      <c r="C62" t="s">
        <v>89</v>
      </c>
      <c r="E62">
        <v>190</v>
      </c>
      <c r="F62">
        <v>38</v>
      </c>
      <c r="G62">
        <v>7220</v>
      </c>
      <c r="H62">
        <v>190</v>
      </c>
    </row>
    <row r="63" spans="1:8" x14ac:dyDescent="0.3">
      <c r="A63" t="s">
        <v>7</v>
      </c>
      <c r="B63">
        <v>2023</v>
      </c>
      <c r="C63" t="s">
        <v>90</v>
      </c>
      <c r="E63">
        <v>250</v>
      </c>
      <c r="F63">
        <v>38</v>
      </c>
      <c r="G63">
        <v>9500</v>
      </c>
      <c r="H63">
        <v>250</v>
      </c>
    </row>
    <row r="64" spans="1:8" x14ac:dyDescent="0.3">
      <c r="A64" t="s">
        <v>7</v>
      </c>
      <c r="B64">
        <v>2023</v>
      </c>
      <c r="C64" t="s">
        <v>91</v>
      </c>
      <c r="E64">
        <v>250</v>
      </c>
      <c r="F64">
        <v>38</v>
      </c>
      <c r="G64">
        <v>9500</v>
      </c>
      <c r="H64">
        <v>250</v>
      </c>
    </row>
    <row r="65" spans="1:8" x14ac:dyDescent="0.3">
      <c r="A65" t="s">
        <v>7</v>
      </c>
      <c r="B65">
        <v>2023</v>
      </c>
      <c r="C65" t="s">
        <v>87</v>
      </c>
      <c r="E65">
        <v>280</v>
      </c>
      <c r="F65">
        <v>38</v>
      </c>
      <c r="G65">
        <v>10640</v>
      </c>
      <c r="H65">
        <v>280</v>
      </c>
    </row>
    <row r="66" spans="1:8" x14ac:dyDescent="0.3">
      <c r="A66" t="s">
        <v>7</v>
      </c>
      <c r="B66">
        <v>2024</v>
      </c>
      <c r="C66" t="s">
        <v>89</v>
      </c>
      <c r="E66">
        <v>200</v>
      </c>
      <c r="F66">
        <v>38</v>
      </c>
      <c r="G66">
        <v>7600</v>
      </c>
      <c r="H66">
        <v>200</v>
      </c>
    </row>
    <row r="67" spans="1:8" x14ac:dyDescent="0.3">
      <c r="A67" t="s">
        <v>7</v>
      </c>
      <c r="B67">
        <v>2024</v>
      </c>
      <c r="C67" t="s">
        <v>90</v>
      </c>
      <c r="E67">
        <v>250</v>
      </c>
      <c r="F67">
        <v>38</v>
      </c>
      <c r="G67">
        <v>9500</v>
      </c>
      <c r="H67">
        <v>250</v>
      </c>
    </row>
    <row r="68" spans="1:8" x14ac:dyDescent="0.3">
      <c r="A68" t="s">
        <v>7</v>
      </c>
      <c r="B68">
        <v>2024</v>
      </c>
      <c r="C68" t="s">
        <v>91</v>
      </c>
      <c r="E68">
        <v>150</v>
      </c>
      <c r="F68">
        <v>38</v>
      </c>
      <c r="G68">
        <v>5700</v>
      </c>
      <c r="H68">
        <v>150</v>
      </c>
    </row>
    <row r="69" spans="1:8" x14ac:dyDescent="0.3">
      <c r="A69" t="s">
        <v>7</v>
      </c>
      <c r="B69">
        <v>2024</v>
      </c>
      <c r="C69" t="s">
        <v>87</v>
      </c>
      <c r="E69">
        <v>150</v>
      </c>
      <c r="F69">
        <v>38</v>
      </c>
      <c r="G69">
        <v>5700</v>
      </c>
      <c r="H69">
        <v>150</v>
      </c>
    </row>
    <row r="70" spans="1:8" x14ac:dyDescent="0.3">
      <c r="A70" t="s">
        <v>7</v>
      </c>
      <c r="B70">
        <v>2025</v>
      </c>
      <c r="C70" t="s">
        <v>89</v>
      </c>
      <c r="E70">
        <v>210</v>
      </c>
      <c r="F70">
        <v>38</v>
      </c>
      <c r="G70">
        <v>7980</v>
      </c>
      <c r="H70">
        <v>210</v>
      </c>
    </row>
    <row r="71" spans="1:8" x14ac:dyDescent="0.3">
      <c r="A71" t="s">
        <v>7</v>
      </c>
      <c r="B71">
        <v>2025</v>
      </c>
      <c r="C71" t="s">
        <v>90</v>
      </c>
      <c r="E71">
        <v>80</v>
      </c>
      <c r="F71">
        <v>38</v>
      </c>
      <c r="G71">
        <v>3040</v>
      </c>
      <c r="H71">
        <v>80</v>
      </c>
    </row>
    <row r="72" spans="1:8" x14ac:dyDescent="0.3">
      <c r="A72" t="s">
        <v>7</v>
      </c>
      <c r="B72">
        <v>2025</v>
      </c>
      <c r="C72" t="s">
        <v>91</v>
      </c>
      <c r="E72">
        <v>150</v>
      </c>
      <c r="F72">
        <v>38</v>
      </c>
      <c r="G72">
        <v>5700</v>
      </c>
      <c r="H72">
        <v>150</v>
      </c>
    </row>
    <row r="73" spans="1:8" x14ac:dyDescent="0.3">
      <c r="A73" t="s">
        <v>7</v>
      </c>
      <c r="B73">
        <v>2025</v>
      </c>
      <c r="C73" t="s">
        <v>87</v>
      </c>
      <c r="E73">
        <v>150</v>
      </c>
      <c r="F73">
        <v>38</v>
      </c>
      <c r="G73">
        <v>5700</v>
      </c>
      <c r="H73">
        <v>150</v>
      </c>
    </row>
    <row r="74" spans="1:8" x14ac:dyDescent="0.3">
      <c r="A74" t="s">
        <v>8</v>
      </c>
      <c r="B74">
        <v>2023</v>
      </c>
      <c r="C74" t="s">
        <v>89</v>
      </c>
      <c r="D74">
        <v>0</v>
      </c>
      <c r="F74">
        <v>0</v>
      </c>
      <c r="G74">
        <v>0</v>
      </c>
      <c r="H74">
        <v>0</v>
      </c>
    </row>
    <row r="75" spans="1:8" x14ac:dyDescent="0.3">
      <c r="A75" t="s">
        <v>8</v>
      </c>
      <c r="B75">
        <v>2023</v>
      </c>
      <c r="C75" t="s">
        <v>90</v>
      </c>
      <c r="D75">
        <v>150</v>
      </c>
      <c r="F75">
        <v>25</v>
      </c>
      <c r="G75">
        <v>3750</v>
      </c>
      <c r="H75">
        <v>150</v>
      </c>
    </row>
    <row r="76" spans="1:8" x14ac:dyDescent="0.3">
      <c r="A76" t="s">
        <v>8</v>
      </c>
      <c r="B76">
        <v>2023</v>
      </c>
      <c r="C76" t="s">
        <v>91</v>
      </c>
      <c r="D76">
        <v>90</v>
      </c>
      <c r="F76">
        <v>30</v>
      </c>
      <c r="G76">
        <v>2700</v>
      </c>
      <c r="H76">
        <v>90</v>
      </c>
    </row>
    <row r="77" spans="1:8" x14ac:dyDescent="0.3">
      <c r="A77" t="s">
        <v>8</v>
      </c>
      <c r="B77">
        <v>2023</v>
      </c>
      <c r="C77" t="s">
        <v>87</v>
      </c>
      <c r="D77">
        <v>80</v>
      </c>
      <c r="F77">
        <v>30</v>
      </c>
      <c r="G77">
        <v>2400</v>
      </c>
      <c r="H77">
        <v>80</v>
      </c>
    </row>
    <row r="78" spans="1:8" x14ac:dyDescent="0.3">
      <c r="A78" t="s">
        <v>8</v>
      </c>
      <c r="B78">
        <v>2024</v>
      </c>
      <c r="C78" t="s">
        <v>89</v>
      </c>
      <c r="D78">
        <v>330</v>
      </c>
      <c r="F78">
        <v>30</v>
      </c>
      <c r="G78">
        <v>9900</v>
      </c>
      <c r="H78">
        <v>330</v>
      </c>
    </row>
    <row r="79" spans="1:8" x14ac:dyDescent="0.3">
      <c r="A79" t="s">
        <v>8</v>
      </c>
      <c r="B79">
        <v>2024</v>
      </c>
      <c r="C79" t="s">
        <v>90</v>
      </c>
      <c r="D79">
        <v>400</v>
      </c>
      <c r="F79">
        <v>30</v>
      </c>
      <c r="G79">
        <v>12000</v>
      </c>
      <c r="H79">
        <v>400</v>
      </c>
    </row>
    <row r="80" spans="1:8" x14ac:dyDescent="0.3">
      <c r="A80" t="s">
        <v>8</v>
      </c>
      <c r="B80">
        <v>2024</v>
      </c>
      <c r="C80" t="s">
        <v>91</v>
      </c>
      <c r="D80">
        <v>500</v>
      </c>
      <c r="F80">
        <v>25</v>
      </c>
      <c r="G80">
        <v>12500</v>
      </c>
      <c r="H80">
        <v>500</v>
      </c>
    </row>
    <row r="81" spans="1:8" x14ac:dyDescent="0.3">
      <c r="A81" t="s">
        <v>8</v>
      </c>
      <c r="B81">
        <v>2024</v>
      </c>
      <c r="C81" t="s">
        <v>87</v>
      </c>
      <c r="D81">
        <v>250</v>
      </c>
      <c r="F81">
        <v>25</v>
      </c>
      <c r="G81">
        <v>6250</v>
      </c>
      <c r="H81">
        <v>250</v>
      </c>
    </row>
    <row r="82" spans="1:8" x14ac:dyDescent="0.3">
      <c r="A82" t="s">
        <v>8</v>
      </c>
      <c r="B82">
        <v>2025</v>
      </c>
      <c r="C82" t="s">
        <v>89</v>
      </c>
      <c r="D82">
        <v>650</v>
      </c>
      <c r="F82">
        <v>25</v>
      </c>
      <c r="G82">
        <v>16250</v>
      </c>
      <c r="H82">
        <v>650</v>
      </c>
    </row>
    <row r="83" spans="1:8" x14ac:dyDescent="0.3">
      <c r="A83" t="s">
        <v>8</v>
      </c>
      <c r="B83">
        <v>2025</v>
      </c>
      <c r="C83" t="s">
        <v>90</v>
      </c>
      <c r="D83">
        <v>850</v>
      </c>
      <c r="F83">
        <v>25</v>
      </c>
      <c r="G83">
        <v>21250</v>
      </c>
      <c r="H83">
        <v>850</v>
      </c>
    </row>
    <row r="84" spans="1:8" x14ac:dyDescent="0.3">
      <c r="A84" t="s">
        <v>8</v>
      </c>
      <c r="B84">
        <v>2025</v>
      </c>
      <c r="C84" t="s">
        <v>91</v>
      </c>
      <c r="D84">
        <v>730</v>
      </c>
      <c r="F84">
        <v>25</v>
      </c>
      <c r="G84">
        <v>18250</v>
      </c>
      <c r="H84">
        <v>730</v>
      </c>
    </row>
    <row r="85" spans="1:8" x14ac:dyDescent="0.3">
      <c r="A85" t="s">
        <v>8</v>
      </c>
      <c r="B85">
        <v>2025</v>
      </c>
      <c r="C85" t="s">
        <v>87</v>
      </c>
      <c r="D85">
        <v>730</v>
      </c>
      <c r="F85">
        <v>25</v>
      </c>
      <c r="G85">
        <v>18250</v>
      </c>
      <c r="H85">
        <v>730</v>
      </c>
    </row>
    <row r="86" spans="1:8" x14ac:dyDescent="0.3">
      <c r="A86" t="s">
        <v>9</v>
      </c>
      <c r="B86">
        <v>2023</v>
      </c>
      <c r="C86" t="s">
        <v>89</v>
      </c>
      <c r="E86">
        <v>0</v>
      </c>
      <c r="F86">
        <v>0</v>
      </c>
      <c r="G86">
        <v>0</v>
      </c>
      <c r="H86">
        <v>0</v>
      </c>
    </row>
    <row r="87" spans="1:8" x14ac:dyDescent="0.3">
      <c r="A87" t="s">
        <v>9</v>
      </c>
      <c r="B87">
        <v>2023</v>
      </c>
      <c r="C87" t="s">
        <v>90</v>
      </c>
      <c r="E87">
        <v>20</v>
      </c>
      <c r="F87">
        <v>48</v>
      </c>
      <c r="G87">
        <v>960</v>
      </c>
      <c r="H87">
        <v>20</v>
      </c>
    </row>
    <row r="88" spans="1:8" x14ac:dyDescent="0.3">
      <c r="A88" t="s">
        <v>9</v>
      </c>
      <c r="B88">
        <v>2023</v>
      </c>
      <c r="C88" t="s">
        <v>91</v>
      </c>
      <c r="E88">
        <v>0</v>
      </c>
      <c r="F88">
        <v>0</v>
      </c>
      <c r="G88">
        <v>0</v>
      </c>
      <c r="H88">
        <v>0</v>
      </c>
    </row>
    <row r="89" spans="1:8" x14ac:dyDescent="0.3">
      <c r="A89" t="s">
        <v>9</v>
      </c>
      <c r="B89">
        <v>2023</v>
      </c>
      <c r="C89" t="s">
        <v>87</v>
      </c>
      <c r="E89">
        <v>0</v>
      </c>
      <c r="F89">
        <v>0</v>
      </c>
      <c r="G89">
        <v>0</v>
      </c>
      <c r="H89">
        <v>0</v>
      </c>
    </row>
    <row r="90" spans="1:8" x14ac:dyDescent="0.3">
      <c r="A90" t="s">
        <v>9</v>
      </c>
      <c r="B90">
        <v>2024</v>
      </c>
      <c r="C90" t="s">
        <v>89</v>
      </c>
      <c r="E90">
        <v>0</v>
      </c>
      <c r="F90">
        <v>0</v>
      </c>
      <c r="G90">
        <v>0</v>
      </c>
      <c r="H90">
        <v>0</v>
      </c>
    </row>
    <row r="91" spans="1:8" x14ac:dyDescent="0.3">
      <c r="A91" t="s">
        <v>9</v>
      </c>
      <c r="B91">
        <v>2024</v>
      </c>
      <c r="C91" t="s">
        <v>90</v>
      </c>
      <c r="E91">
        <v>0</v>
      </c>
      <c r="F91">
        <v>0</v>
      </c>
      <c r="G91">
        <v>0</v>
      </c>
      <c r="H91">
        <v>0</v>
      </c>
    </row>
    <row r="92" spans="1:8" x14ac:dyDescent="0.3">
      <c r="A92" t="s">
        <v>9</v>
      </c>
      <c r="B92">
        <v>2024</v>
      </c>
      <c r="C92" t="s">
        <v>91</v>
      </c>
      <c r="E92">
        <v>0</v>
      </c>
      <c r="F92">
        <v>0</v>
      </c>
      <c r="G92">
        <v>0</v>
      </c>
      <c r="H92">
        <v>0</v>
      </c>
    </row>
    <row r="93" spans="1:8" x14ac:dyDescent="0.3">
      <c r="A93" t="s">
        <v>9</v>
      </c>
      <c r="B93">
        <v>2024</v>
      </c>
      <c r="C93" t="s">
        <v>87</v>
      </c>
      <c r="E93">
        <v>0</v>
      </c>
      <c r="F93">
        <v>0</v>
      </c>
      <c r="G93">
        <v>0</v>
      </c>
      <c r="H93">
        <v>0</v>
      </c>
    </row>
    <row r="94" spans="1:8" x14ac:dyDescent="0.3">
      <c r="A94" t="s">
        <v>9</v>
      </c>
      <c r="B94">
        <v>2025</v>
      </c>
      <c r="C94" t="s">
        <v>89</v>
      </c>
      <c r="E94">
        <v>300</v>
      </c>
      <c r="F94">
        <v>50</v>
      </c>
      <c r="G94">
        <v>15000</v>
      </c>
      <c r="H94">
        <v>300</v>
      </c>
    </row>
    <row r="95" spans="1:8" x14ac:dyDescent="0.3">
      <c r="A95" t="s">
        <v>9</v>
      </c>
      <c r="B95">
        <v>2025</v>
      </c>
      <c r="C95" t="s">
        <v>90</v>
      </c>
      <c r="E95">
        <v>600</v>
      </c>
      <c r="F95">
        <v>50</v>
      </c>
      <c r="G95">
        <v>30000</v>
      </c>
      <c r="H95">
        <v>600</v>
      </c>
    </row>
    <row r="96" spans="1:8" x14ac:dyDescent="0.3">
      <c r="A96" t="s">
        <v>9</v>
      </c>
      <c r="B96">
        <v>2025</v>
      </c>
      <c r="C96" t="s">
        <v>91</v>
      </c>
      <c r="E96">
        <v>180</v>
      </c>
      <c r="F96">
        <v>50</v>
      </c>
      <c r="G96">
        <v>9000</v>
      </c>
      <c r="H96">
        <v>180</v>
      </c>
    </row>
    <row r="97" spans="1:8" x14ac:dyDescent="0.3">
      <c r="A97" t="s">
        <v>9</v>
      </c>
      <c r="B97">
        <v>2025</v>
      </c>
      <c r="C97" t="s">
        <v>87</v>
      </c>
      <c r="E97">
        <v>180</v>
      </c>
      <c r="F97">
        <v>50</v>
      </c>
      <c r="G97">
        <v>9000</v>
      </c>
      <c r="H97">
        <v>180</v>
      </c>
    </row>
    <row r="98" spans="1:8" x14ac:dyDescent="0.3">
      <c r="A98" t="s">
        <v>2</v>
      </c>
      <c r="B98">
        <v>2023</v>
      </c>
      <c r="C98" t="s">
        <v>89</v>
      </c>
      <c r="G98">
        <v>4000</v>
      </c>
    </row>
    <row r="99" spans="1:8" x14ac:dyDescent="0.3">
      <c r="A99" t="s">
        <v>2</v>
      </c>
      <c r="B99">
        <v>2023</v>
      </c>
      <c r="C99" t="s">
        <v>90</v>
      </c>
      <c r="G99">
        <v>4000</v>
      </c>
    </row>
    <row r="100" spans="1:8" x14ac:dyDescent="0.3">
      <c r="A100" t="s">
        <v>2</v>
      </c>
      <c r="B100">
        <v>2023</v>
      </c>
      <c r="C100" t="s">
        <v>91</v>
      </c>
      <c r="G100">
        <v>4000</v>
      </c>
    </row>
    <row r="101" spans="1:8" x14ac:dyDescent="0.3">
      <c r="A101" t="s">
        <v>2</v>
      </c>
      <c r="B101">
        <v>2023</v>
      </c>
      <c r="C101" t="s">
        <v>87</v>
      </c>
      <c r="G101">
        <v>4000</v>
      </c>
    </row>
    <row r="102" spans="1:8" x14ac:dyDescent="0.3">
      <c r="A102" t="s">
        <v>2</v>
      </c>
      <c r="B102">
        <v>2024</v>
      </c>
      <c r="C102" t="s">
        <v>89</v>
      </c>
      <c r="G102">
        <v>4000</v>
      </c>
    </row>
    <row r="103" spans="1:8" x14ac:dyDescent="0.3">
      <c r="A103" t="s">
        <v>2</v>
      </c>
      <c r="B103">
        <v>2024</v>
      </c>
      <c r="C103" t="s">
        <v>90</v>
      </c>
      <c r="G103">
        <v>4000</v>
      </c>
    </row>
    <row r="104" spans="1:8" x14ac:dyDescent="0.3">
      <c r="A104" t="s">
        <v>2</v>
      </c>
      <c r="B104">
        <v>2024</v>
      </c>
      <c r="C104" t="s">
        <v>91</v>
      </c>
      <c r="G104">
        <v>4000</v>
      </c>
    </row>
    <row r="105" spans="1:8" x14ac:dyDescent="0.3">
      <c r="A105" t="s">
        <v>2</v>
      </c>
      <c r="B105">
        <v>2024</v>
      </c>
      <c r="C105" t="s">
        <v>87</v>
      </c>
      <c r="G105">
        <v>4000</v>
      </c>
    </row>
    <row r="106" spans="1:8" x14ac:dyDescent="0.3">
      <c r="A106" t="s">
        <v>2</v>
      </c>
      <c r="B106">
        <v>2025</v>
      </c>
      <c r="C106" t="s">
        <v>89</v>
      </c>
      <c r="G106">
        <v>4000</v>
      </c>
    </row>
    <row r="107" spans="1:8" x14ac:dyDescent="0.3">
      <c r="A107" t="s">
        <v>2</v>
      </c>
      <c r="B107">
        <v>2025</v>
      </c>
      <c r="C107" t="s">
        <v>90</v>
      </c>
      <c r="G107">
        <v>4000</v>
      </c>
    </row>
    <row r="108" spans="1:8" x14ac:dyDescent="0.3">
      <c r="A108" t="s">
        <v>2</v>
      </c>
      <c r="B108">
        <v>2025</v>
      </c>
      <c r="C108" t="s">
        <v>91</v>
      </c>
      <c r="G108">
        <v>4000</v>
      </c>
    </row>
    <row r="109" spans="1:8" x14ac:dyDescent="0.3">
      <c r="A109" t="s">
        <v>2</v>
      </c>
      <c r="B109">
        <v>2025</v>
      </c>
      <c r="C109" t="s">
        <v>87</v>
      </c>
      <c r="G109">
        <v>4000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8"/>
  <sheetViews>
    <sheetView topLeftCell="H16" workbookViewId="0">
      <selection activeCell="X35" sqref="X35"/>
    </sheetView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3">
      <c r="A2" s="23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x14ac:dyDescent="0.3">
      <c r="A3" s="8" t="s">
        <v>11</v>
      </c>
      <c r="B3" s="21">
        <v>190</v>
      </c>
      <c r="C3" s="21">
        <v>500</v>
      </c>
      <c r="D3" s="21">
        <v>750</v>
      </c>
      <c r="E3" s="21">
        <v>700</v>
      </c>
      <c r="F3" s="21">
        <v>300</v>
      </c>
      <c r="G3" s="21">
        <v>850</v>
      </c>
      <c r="H3" s="21">
        <v>1000</v>
      </c>
      <c r="I3" s="21">
        <v>690</v>
      </c>
      <c r="J3" s="21">
        <v>300</v>
      </c>
      <c r="K3" s="21">
        <v>800</v>
      </c>
      <c r="L3" s="21">
        <v>950</v>
      </c>
      <c r="M3" s="21">
        <v>780</v>
      </c>
      <c r="N3" s="21">
        <v>780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3">
      <c r="A4" s="8" t="s">
        <v>12</v>
      </c>
      <c r="B4" s="30">
        <v>70</v>
      </c>
      <c r="C4" s="30">
        <v>73</v>
      </c>
      <c r="D4" s="30">
        <v>73</v>
      </c>
      <c r="E4" s="30">
        <v>73</v>
      </c>
      <c r="F4" s="61">
        <v>74</v>
      </c>
      <c r="G4" s="30">
        <v>75</v>
      </c>
      <c r="H4" s="30">
        <v>75</v>
      </c>
      <c r="I4" s="30">
        <v>77</v>
      </c>
      <c r="J4" s="30">
        <v>77</v>
      </c>
      <c r="K4" s="30">
        <v>77</v>
      </c>
      <c r="L4" s="44">
        <v>82</v>
      </c>
      <c r="M4" s="44">
        <v>82</v>
      </c>
      <c r="N4" s="44">
        <v>82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3">
      <c r="A5" s="8" t="s">
        <v>13</v>
      </c>
      <c r="B5" s="21">
        <f t="shared" ref="B5:N5" si="0">B3*B4</f>
        <v>13300</v>
      </c>
      <c r="C5" s="21">
        <f t="shared" si="0"/>
        <v>36500</v>
      </c>
      <c r="D5" s="21">
        <f t="shared" si="0"/>
        <v>54750</v>
      </c>
      <c r="E5" s="21">
        <f t="shared" si="0"/>
        <v>51100</v>
      </c>
      <c r="F5" s="21">
        <f t="shared" si="0"/>
        <v>22200</v>
      </c>
      <c r="G5" s="21">
        <f t="shared" si="0"/>
        <v>63750</v>
      </c>
      <c r="H5" s="21">
        <f t="shared" si="0"/>
        <v>75000</v>
      </c>
      <c r="I5" s="21">
        <f t="shared" si="0"/>
        <v>53130</v>
      </c>
      <c r="J5" s="21">
        <f t="shared" si="0"/>
        <v>23100</v>
      </c>
      <c r="K5" s="21">
        <f t="shared" si="0"/>
        <v>61600</v>
      </c>
      <c r="L5" s="21">
        <f t="shared" si="0"/>
        <v>77900</v>
      </c>
      <c r="M5" s="21">
        <f t="shared" si="0"/>
        <v>63960</v>
      </c>
      <c r="N5" s="21">
        <f t="shared" si="0"/>
        <v>63960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</row>
    <row r="6" spans="1:26" x14ac:dyDescent="0.3">
      <c r="A6" s="23" t="s">
        <v>3</v>
      </c>
      <c r="B6" s="62"/>
      <c r="C6" s="63"/>
      <c r="D6" s="63"/>
      <c r="E6" s="63"/>
      <c r="F6" s="63"/>
      <c r="G6" s="64"/>
      <c r="H6" s="64"/>
      <c r="I6" s="64"/>
      <c r="J6" s="64"/>
      <c r="K6" s="64"/>
      <c r="L6" s="64"/>
      <c r="M6" s="64"/>
      <c r="N6" s="65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x14ac:dyDescent="0.3">
      <c r="A7" s="8" t="s">
        <v>11</v>
      </c>
      <c r="B7" s="21">
        <v>40</v>
      </c>
      <c r="C7" s="21">
        <v>200</v>
      </c>
      <c r="D7" s="21">
        <v>200</v>
      </c>
      <c r="E7" s="21">
        <v>150</v>
      </c>
      <c r="F7" s="21">
        <v>70</v>
      </c>
      <c r="G7" s="21">
        <v>130</v>
      </c>
      <c r="H7" s="21">
        <v>200</v>
      </c>
      <c r="I7" s="21">
        <v>110</v>
      </c>
      <c r="J7" s="21">
        <v>90</v>
      </c>
      <c r="K7" s="21">
        <v>150</v>
      </c>
      <c r="L7" s="21">
        <v>200</v>
      </c>
      <c r="M7" s="21">
        <v>110</v>
      </c>
      <c r="N7" s="21"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3">
      <c r="A8" s="8" t="s">
        <v>12</v>
      </c>
      <c r="B8" s="30">
        <v>210</v>
      </c>
      <c r="C8" s="30">
        <v>210</v>
      </c>
      <c r="D8" s="30">
        <v>210</v>
      </c>
      <c r="E8" s="30">
        <v>230</v>
      </c>
      <c r="F8" s="61">
        <v>230</v>
      </c>
      <c r="G8" s="30">
        <v>230</v>
      </c>
      <c r="H8" s="30">
        <v>230</v>
      </c>
      <c r="I8" s="30">
        <v>240</v>
      </c>
      <c r="J8" s="30">
        <v>240</v>
      </c>
      <c r="K8" s="30">
        <v>240</v>
      </c>
      <c r="L8" s="44">
        <v>240</v>
      </c>
      <c r="M8" s="44">
        <v>240</v>
      </c>
      <c r="N8" s="44">
        <v>240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x14ac:dyDescent="0.3">
      <c r="A9" s="8" t="s">
        <v>13</v>
      </c>
      <c r="B9" s="21">
        <f>B7*B8</f>
        <v>8400</v>
      </c>
      <c r="C9" s="21">
        <f t="shared" ref="C9:N9" si="1">C7*C8</f>
        <v>42000</v>
      </c>
      <c r="D9" s="21">
        <f t="shared" si="1"/>
        <v>42000</v>
      </c>
      <c r="E9" s="21">
        <f t="shared" si="1"/>
        <v>34500</v>
      </c>
      <c r="F9" s="21">
        <f t="shared" si="1"/>
        <v>16100</v>
      </c>
      <c r="G9" s="21">
        <f t="shared" si="1"/>
        <v>29900</v>
      </c>
      <c r="H9" s="21">
        <f t="shared" si="1"/>
        <v>46000</v>
      </c>
      <c r="I9" s="21">
        <f t="shared" si="1"/>
        <v>26400</v>
      </c>
      <c r="J9" s="21">
        <f t="shared" si="1"/>
        <v>21600</v>
      </c>
      <c r="K9" s="21">
        <f t="shared" si="1"/>
        <v>36000</v>
      </c>
      <c r="L9" s="21">
        <f t="shared" si="1"/>
        <v>48000</v>
      </c>
      <c r="M9" s="21">
        <f t="shared" si="1"/>
        <v>26400</v>
      </c>
      <c r="N9" s="21">
        <f t="shared" si="1"/>
        <v>26400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x14ac:dyDescent="0.3">
      <c r="A10" s="23" t="s">
        <v>4</v>
      </c>
      <c r="B10" s="62"/>
      <c r="C10" s="63"/>
      <c r="D10" s="63"/>
      <c r="E10" s="63"/>
      <c r="F10" s="63"/>
      <c r="G10" s="64"/>
      <c r="H10" s="64"/>
      <c r="I10" s="64"/>
      <c r="J10" s="64"/>
      <c r="K10" s="64"/>
      <c r="L10" s="64"/>
      <c r="M10" s="64"/>
      <c r="N10" s="65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x14ac:dyDescent="0.3">
      <c r="A11" s="8" t="s">
        <v>11</v>
      </c>
      <c r="B11" s="21">
        <v>6000</v>
      </c>
      <c r="C11" s="21">
        <v>10000</v>
      </c>
      <c r="D11" s="21">
        <v>12000</v>
      </c>
      <c r="E11" s="21">
        <v>12000</v>
      </c>
      <c r="F11" s="21">
        <v>12000</v>
      </c>
      <c r="G11" s="21">
        <v>12000</v>
      </c>
      <c r="H11" s="21">
        <v>10000</v>
      </c>
      <c r="I11" s="21">
        <v>10000</v>
      </c>
      <c r="J11" s="21">
        <v>7000</v>
      </c>
      <c r="K11" s="21">
        <v>10000</v>
      </c>
      <c r="L11" s="21">
        <v>12000</v>
      </c>
      <c r="M11" s="21">
        <v>10000</v>
      </c>
      <c r="N11" s="21"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3">
      <c r="A12" s="8" t="s">
        <v>12</v>
      </c>
      <c r="B12" s="30">
        <v>14.5</v>
      </c>
      <c r="C12" s="30">
        <v>14.5</v>
      </c>
      <c r="D12" s="30">
        <v>14.5</v>
      </c>
      <c r="E12" s="30">
        <v>14.5</v>
      </c>
      <c r="F12" s="30">
        <v>14.5</v>
      </c>
      <c r="G12" s="30">
        <v>16</v>
      </c>
      <c r="H12" s="30">
        <v>16</v>
      </c>
      <c r="I12" s="30">
        <v>19</v>
      </c>
      <c r="J12" s="30">
        <v>19</v>
      </c>
      <c r="K12" s="30">
        <v>19</v>
      </c>
      <c r="L12" s="30">
        <v>19</v>
      </c>
      <c r="M12" s="30">
        <v>19</v>
      </c>
      <c r="N12" s="44">
        <v>19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3">
      <c r="A13" s="8" t="s">
        <v>13</v>
      </c>
      <c r="B13" s="66">
        <f>B11*B12</f>
        <v>87000</v>
      </c>
      <c r="C13" s="66">
        <f t="shared" ref="C13:N13" si="2">C11*C12</f>
        <v>145000</v>
      </c>
      <c r="D13" s="66">
        <f t="shared" si="2"/>
        <v>174000</v>
      </c>
      <c r="E13" s="66">
        <f t="shared" si="2"/>
        <v>174000</v>
      </c>
      <c r="F13" s="66">
        <f t="shared" si="2"/>
        <v>174000</v>
      </c>
      <c r="G13" s="66">
        <f t="shared" si="2"/>
        <v>192000</v>
      </c>
      <c r="H13" s="66">
        <f t="shared" si="2"/>
        <v>160000</v>
      </c>
      <c r="I13" s="66">
        <f t="shared" si="2"/>
        <v>190000</v>
      </c>
      <c r="J13" s="66">
        <f t="shared" si="2"/>
        <v>133000</v>
      </c>
      <c r="K13" s="66">
        <f t="shared" si="2"/>
        <v>190000</v>
      </c>
      <c r="L13" s="66">
        <f t="shared" si="2"/>
        <v>228000</v>
      </c>
      <c r="M13" s="66">
        <f t="shared" si="2"/>
        <v>190000</v>
      </c>
      <c r="N13" s="66">
        <f t="shared" si="2"/>
        <v>190000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3">
      <c r="A14" s="23" t="s">
        <v>5</v>
      </c>
      <c r="B14" s="62"/>
      <c r="C14" s="63"/>
      <c r="D14" s="63"/>
      <c r="E14" s="63"/>
      <c r="F14" s="63"/>
      <c r="G14" s="64"/>
      <c r="H14" s="64"/>
      <c r="I14" s="64"/>
      <c r="J14" s="64"/>
      <c r="K14" s="64"/>
      <c r="L14" s="64"/>
      <c r="M14" s="64"/>
      <c r="N14" s="65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250</v>
      </c>
      <c r="I15" s="21">
        <v>100</v>
      </c>
      <c r="J15" s="21">
        <v>150</v>
      </c>
      <c r="K15" s="21">
        <v>1000</v>
      </c>
      <c r="L15" s="21">
        <v>500</v>
      </c>
      <c r="M15" s="21">
        <v>150</v>
      </c>
      <c r="N15" s="21"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3">
      <c r="A16" s="8" t="s">
        <v>12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14</v>
      </c>
      <c r="I16" s="30">
        <v>14</v>
      </c>
      <c r="J16" s="30">
        <v>14</v>
      </c>
      <c r="K16" s="30">
        <v>14</v>
      </c>
      <c r="L16" s="30">
        <v>18</v>
      </c>
      <c r="M16" s="30">
        <v>20</v>
      </c>
      <c r="N16" s="30">
        <v>22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G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ref="H17:N17" si="4">H15*H16</f>
        <v>3500</v>
      </c>
      <c r="I17" s="21">
        <f t="shared" si="4"/>
        <v>1400</v>
      </c>
      <c r="J17" s="21">
        <f t="shared" si="4"/>
        <v>2100</v>
      </c>
      <c r="K17" s="21">
        <f t="shared" si="4"/>
        <v>14000</v>
      </c>
      <c r="L17" s="21">
        <f t="shared" si="4"/>
        <v>9000</v>
      </c>
      <c r="M17" s="21">
        <f t="shared" si="4"/>
        <v>3000</v>
      </c>
      <c r="N17" s="21">
        <f t="shared" si="4"/>
        <v>3300</v>
      </c>
      <c r="O17" s="42">
        <f t="shared" ref="O17:Z17" si="5">O15*O16</f>
        <v>0</v>
      </c>
      <c r="P17" s="42">
        <f t="shared" si="5"/>
        <v>0</v>
      </c>
      <c r="Q17" s="42">
        <f t="shared" si="5"/>
        <v>0</v>
      </c>
      <c r="R17" s="42">
        <f t="shared" si="5"/>
        <v>0</v>
      </c>
      <c r="S17" s="42">
        <f t="shared" si="5"/>
        <v>0</v>
      </c>
      <c r="T17" s="42">
        <f t="shared" si="5"/>
        <v>0</v>
      </c>
      <c r="U17" s="42">
        <f t="shared" si="5"/>
        <v>0</v>
      </c>
      <c r="V17" s="42">
        <f t="shared" si="5"/>
        <v>0</v>
      </c>
      <c r="W17" s="42">
        <f t="shared" si="5"/>
        <v>0</v>
      </c>
      <c r="X17" s="42">
        <f t="shared" si="5"/>
        <v>0</v>
      </c>
      <c r="Y17" s="42">
        <f t="shared" si="5"/>
        <v>0</v>
      </c>
      <c r="Z17" s="42">
        <f t="shared" si="5"/>
        <v>0</v>
      </c>
    </row>
    <row r="18" spans="1:26" x14ac:dyDescent="0.3">
      <c r="A18" s="23" t="s">
        <v>6</v>
      </c>
      <c r="B18" s="62"/>
      <c r="C18" s="63"/>
      <c r="D18" s="63"/>
      <c r="E18" s="63"/>
      <c r="F18" s="63"/>
      <c r="G18" s="64"/>
      <c r="H18" s="64"/>
      <c r="I18" s="64"/>
      <c r="J18" s="64"/>
      <c r="K18" s="64"/>
      <c r="L18" s="64"/>
      <c r="M18" s="64"/>
      <c r="N18" s="65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x14ac:dyDescent="0.3">
      <c r="A19" s="8" t="s">
        <v>14</v>
      </c>
      <c r="B19" s="21">
        <v>200</v>
      </c>
      <c r="C19" s="21">
        <v>150</v>
      </c>
      <c r="D19" s="21">
        <v>180</v>
      </c>
      <c r="E19" s="21">
        <v>250</v>
      </c>
      <c r="F19" s="21">
        <v>270</v>
      </c>
      <c r="G19" s="21">
        <v>270</v>
      </c>
      <c r="H19" s="21">
        <v>150</v>
      </c>
      <c r="I19" s="21">
        <v>250</v>
      </c>
      <c r="J19" s="21">
        <v>200</v>
      </c>
      <c r="K19" s="21">
        <v>200</v>
      </c>
      <c r="L19" s="21">
        <v>150</v>
      </c>
      <c r="M19" s="21">
        <v>80</v>
      </c>
      <c r="N19" s="21"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</row>
    <row r="20" spans="1:26" x14ac:dyDescent="0.3">
      <c r="A20" s="8" t="s">
        <v>12</v>
      </c>
      <c r="B20" s="30">
        <v>65</v>
      </c>
      <c r="C20" s="30">
        <v>65</v>
      </c>
      <c r="D20" s="30">
        <v>65</v>
      </c>
      <c r="E20" s="30">
        <v>65</v>
      </c>
      <c r="F20" s="30">
        <v>65</v>
      </c>
      <c r="G20" s="30">
        <v>65</v>
      </c>
      <c r="H20" s="30">
        <v>65</v>
      </c>
      <c r="I20" s="30">
        <v>65</v>
      </c>
      <c r="J20" s="30">
        <v>65</v>
      </c>
      <c r="K20" s="30">
        <v>65</v>
      </c>
      <c r="L20" s="44">
        <v>65</v>
      </c>
      <c r="M20" s="44">
        <v>65</v>
      </c>
      <c r="N20" s="44">
        <v>65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x14ac:dyDescent="0.3">
      <c r="A21" s="8" t="s">
        <v>13</v>
      </c>
      <c r="B21" s="21">
        <f>B19*B20</f>
        <v>13000</v>
      </c>
      <c r="C21" s="21">
        <f t="shared" ref="C21:N21" si="6">C19*C20</f>
        <v>9750</v>
      </c>
      <c r="D21" s="21">
        <f t="shared" si="6"/>
        <v>11700</v>
      </c>
      <c r="E21" s="21">
        <f t="shared" si="6"/>
        <v>16250</v>
      </c>
      <c r="F21" s="21">
        <f t="shared" si="6"/>
        <v>17550</v>
      </c>
      <c r="G21" s="21">
        <f t="shared" si="6"/>
        <v>17550</v>
      </c>
      <c r="H21" s="21">
        <f t="shared" si="6"/>
        <v>9750</v>
      </c>
      <c r="I21" s="21">
        <f t="shared" si="6"/>
        <v>16250</v>
      </c>
      <c r="J21" s="21">
        <f t="shared" si="6"/>
        <v>13000</v>
      </c>
      <c r="K21" s="21">
        <f t="shared" si="6"/>
        <v>13000</v>
      </c>
      <c r="L21" s="21">
        <f t="shared" si="6"/>
        <v>9750</v>
      </c>
      <c r="M21" s="21">
        <f t="shared" si="6"/>
        <v>5200</v>
      </c>
      <c r="N21" s="21">
        <f t="shared" si="6"/>
        <v>5200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</row>
    <row r="22" spans="1:26" x14ac:dyDescent="0.3">
      <c r="A22" s="23" t="s">
        <v>7</v>
      </c>
      <c r="B22" s="67"/>
      <c r="C22" s="63"/>
      <c r="D22" s="63"/>
      <c r="E22" s="63"/>
      <c r="F22" s="63"/>
      <c r="G22" s="64"/>
      <c r="H22" s="64"/>
      <c r="I22" s="64"/>
      <c r="J22" s="64"/>
      <c r="K22" s="64"/>
      <c r="L22" s="64"/>
      <c r="M22" s="64"/>
      <c r="N22" s="65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x14ac:dyDescent="0.3">
      <c r="A23" s="8" t="s">
        <v>14</v>
      </c>
      <c r="B23" s="21">
        <v>130</v>
      </c>
      <c r="C23" s="21">
        <v>190</v>
      </c>
      <c r="D23" s="21">
        <v>250</v>
      </c>
      <c r="E23" s="21">
        <v>250</v>
      </c>
      <c r="F23" s="21">
        <v>280</v>
      </c>
      <c r="G23" s="21">
        <v>200</v>
      </c>
      <c r="H23" s="21">
        <v>250</v>
      </c>
      <c r="I23" s="21">
        <v>150</v>
      </c>
      <c r="J23" s="21">
        <v>150</v>
      </c>
      <c r="K23" s="21">
        <v>210</v>
      </c>
      <c r="L23" s="21">
        <v>80</v>
      </c>
      <c r="M23" s="21">
        <v>150</v>
      </c>
      <c r="N23" s="21"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</row>
    <row r="24" spans="1:26" x14ac:dyDescent="0.3">
      <c r="A24" s="8" t="s">
        <v>12</v>
      </c>
      <c r="B24" s="31">
        <v>38</v>
      </c>
      <c r="C24" s="31">
        <v>38</v>
      </c>
      <c r="D24" s="31">
        <v>38</v>
      </c>
      <c r="E24" s="31">
        <v>38</v>
      </c>
      <c r="F24" s="31">
        <v>38</v>
      </c>
      <c r="G24" s="31">
        <v>38</v>
      </c>
      <c r="H24" s="31">
        <v>38</v>
      </c>
      <c r="I24" s="31">
        <v>38</v>
      </c>
      <c r="J24" s="31">
        <v>38</v>
      </c>
      <c r="K24" s="31">
        <v>38</v>
      </c>
      <c r="L24" s="44">
        <v>38</v>
      </c>
      <c r="M24" s="44">
        <v>38</v>
      </c>
      <c r="N24" s="44">
        <v>38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</row>
    <row r="25" spans="1:26" x14ac:dyDescent="0.3">
      <c r="A25" s="8" t="s">
        <v>13</v>
      </c>
      <c r="B25" s="21">
        <f>B23*B24</f>
        <v>4940</v>
      </c>
      <c r="C25" s="21">
        <f t="shared" ref="C25:N25" si="7">C23*C24</f>
        <v>7220</v>
      </c>
      <c r="D25" s="21">
        <f t="shared" si="7"/>
        <v>9500</v>
      </c>
      <c r="E25" s="21">
        <f t="shared" si="7"/>
        <v>9500</v>
      </c>
      <c r="F25" s="21">
        <f t="shared" si="7"/>
        <v>10640</v>
      </c>
      <c r="G25" s="21">
        <f t="shared" si="7"/>
        <v>7600</v>
      </c>
      <c r="H25" s="21">
        <f t="shared" si="7"/>
        <v>9500</v>
      </c>
      <c r="I25" s="21">
        <f t="shared" si="7"/>
        <v>5700</v>
      </c>
      <c r="J25" s="21">
        <f t="shared" si="7"/>
        <v>5700</v>
      </c>
      <c r="K25" s="21">
        <f t="shared" si="7"/>
        <v>7980</v>
      </c>
      <c r="L25" s="21">
        <f t="shared" si="7"/>
        <v>3040</v>
      </c>
      <c r="M25" s="21">
        <f t="shared" si="7"/>
        <v>5700</v>
      </c>
      <c r="N25" s="21">
        <f t="shared" si="7"/>
        <v>5700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2">
        <v>0</v>
      </c>
      <c r="Z25" s="42">
        <v>0</v>
      </c>
    </row>
    <row r="26" spans="1:26" x14ac:dyDescent="0.3">
      <c r="A26" s="23" t="s">
        <v>8</v>
      </c>
      <c r="B26" s="67"/>
      <c r="C26" s="67"/>
      <c r="D26" s="67"/>
      <c r="E26" s="67"/>
      <c r="F26" s="67"/>
      <c r="G26" s="64"/>
      <c r="H26" s="64"/>
      <c r="I26" s="64"/>
      <c r="J26" s="64"/>
      <c r="K26" s="64"/>
      <c r="L26" s="64"/>
      <c r="M26" s="64"/>
      <c r="N26" s="65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x14ac:dyDescent="0.3">
      <c r="A27" s="8" t="s">
        <v>11</v>
      </c>
      <c r="B27" s="66">
        <v>0</v>
      </c>
      <c r="C27" s="21">
        <v>0</v>
      </c>
      <c r="D27" s="21">
        <v>150</v>
      </c>
      <c r="E27" s="21">
        <v>90</v>
      </c>
      <c r="F27" s="21">
        <v>80</v>
      </c>
      <c r="G27" s="21">
        <v>330</v>
      </c>
      <c r="H27" s="21">
        <v>400</v>
      </c>
      <c r="I27" s="21">
        <v>500</v>
      </c>
      <c r="J27" s="21">
        <v>250</v>
      </c>
      <c r="K27" s="21">
        <v>650</v>
      </c>
      <c r="L27" s="21">
        <v>850</v>
      </c>
      <c r="M27" s="21">
        <v>730</v>
      </c>
      <c r="N27" s="21"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</row>
    <row r="28" spans="1:26" x14ac:dyDescent="0.3">
      <c r="A28" s="8" t="s">
        <v>12</v>
      </c>
      <c r="B28" s="38">
        <v>0</v>
      </c>
      <c r="C28" s="38">
        <v>0</v>
      </c>
      <c r="D28" s="38">
        <v>25</v>
      </c>
      <c r="E28" s="38">
        <v>30</v>
      </c>
      <c r="F28" s="38">
        <v>30</v>
      </c>
      <c r="G28" s="38">
        <v>30</v>
      </c>
      <c r="H28" s="38">
        <v>30</v>
      </c>
      <c r="I28" s="38">
        <v>25</v>
      </c>
      <c r="J28" s="38">
        <v>25</v>
      </c>
      <c r="K28" s="38">
        <v>25</v>
      </c>
      <c r="L28" s="44">
        <v>25</v>
      </c>
      <c r="M28" s="44">
        <v>25</v>
      </c>
      <c r="N28" s="44">
        <v>25</v>
      </c>
      <c r="O28" s="42">
        <v>0</v>
      </c>
      <c r="P28" s="42">
        <v>0</v>
      </c>
      <c r="Q28" s="42">
        <v>0</v>
      </c>
      <c r="R28" s="42">
        <v>0</v>
      </c>
      <c r="S28" s="42">
        <v>0</v>
      </c>
      <c r="T28" s="42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</row>
    <row r="29" spans="1:26" x14ac:dyDescent="0.3">
      <c r="A29" s="8" t="s">
        <v>13</v>
      </c>
      <c r="B29" s="66">
        <f>B27*B28</f>
        <v>0</v>
      </c>
      <c r="C29" s="66">
        <f t="shared" ref="C29:N29" si="8">C27*C28</f>
        <v>0</v>
      </c>
      <c r="D29" s="66">
        <f t="shared" si="8"/>
        <v>3750</v>
      </c>
      <c r="E29" s="66">
        <f t="shared" si="8"/>
        <v>2700</v>
      </c>
      <c r="F29" s="66">
        <f t="shared" si="8"/>
        <v>2400</v>
      </c>
      <c r="G29" s="66">
        <f t="shared" si="8"/>
        <v>9900</v>
      </c>
      <c r="H29" s="66">
        <f t="shared" si="8"/>
        <v>12000</v>
      </c>
      <c r="I29" s="66">
        <f t="shared" si="8"/>
        <v>12500</v>
      </c>
      <c r="J29" s="66">
        <f t="shared" si="8"/>
        <v>6250</v>
      </c>
      <c r="K29" s="66">
        <f t="shared" si="8"/>
        <v>16250</v>
      </c>
      <c r="L29" s="66">
        <f t="shared" si="8"/>
        <v>21250</v>
      </c>
      <c r="M29" s="66">
        <f t="shared" si="8"/>
        <v>18250</v>
      </c>
      <c r="N29" s="66">
        <f t="shared" si="8"/>
        <v>18250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</row>
    <row r="30" spans="1:26" x14ac:dyDescent="0.3">
      <c r="A30" s="23" t="s">
        <v>9</v>
      </c>
      <c r="B30" s="62"/>
      <c r="C30" s="63"/>
      <c r="D30" s="63"/>
      <c r="E30" s="63"/>
      <c r="F30" s="63"/>
      <c r="G30" s="64"/>
      <c r="H30" s="64"/>
      <c r="I30" s="64"/>
      <c r="J30" s="64"/>
      <c r="K30" s="68"/>
      <c r="L30" s="47"/>
      <c r="M30" s="47"/>
      <c r="N30" s="65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x14ac:dyDescent="0.3">
      <c r="A31" s="8" t="s">
        <v>14</v>
      </c>
      <c r="B31" s="21">
        <v>20</v>
      </c>
      <c r="C31" s="21">
        <v>0</v>
      </c>
      <c r="D31" s="21">
        <v>20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300</v>
      </c>
      <c r="L31" s="21">
        <v>600</v>
      </c>
      <c r="M31" s="21">
        <v>180</v>
      </c>
      <c r="N31" s="21"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48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50</v>
      </c>
      <c r="L32" s="17">
        <v>50</v>
      </c>
      <c r="M32" s="17">
        <v>50</v>
      </c>
      <c r="N32" s="17">
        <v>50</v>
      </c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</row>
    <row r="33" spans="1:26" x14ac:dyDescent="0.3">
      <c r="A33" s="8" t="s">
        <v>13</v>
      </c>
      <c r="B33" s="21">
        <f>B31*B32</f>
        <v>960.04974020573638</v>
      </c>
      <c r="C33" s="21">
        <f t="shared" ref="C33:N33" si="9">C31*C32</f>
        <v>0</v>
      </c>
      <c r="D33" s="21">
        <f t="shared" si="9"/>
        <v>960</v>
      </c>
      <c r="E33" s="21">
        <f t="shared" si="9"/>
        <v>0</v>
      </c>
      <c r="F33" s="21">
        <f t="shared" si="9"/>
        <v>0</v>
      </c>
      <c r="G33" s="21">
        <f t="shared" si="9"/>
        <v>0</v>
      </c>
      <c r="H33" s="21">
        <f t="shared" si="9"/>
        <v>0</v>
      </c>
      <c r="I33" s="21">
        <f t="shared" si="9"/>
        <v>0</v>
      </c>
      <c r="J33" s="21">
        <f t="shared" si="9"/>
        <v>0</v>
      </c>
      <c r="K33" s="21">
        <f t="shared" si="9"/>
        <v>15000</v>
      </c>
      <c r="L33" s="21">
        <f t="shared" si="9"/>
        <v>30000</v>
      </c>
      <c r="M33" s="21">
        <f t="shared" si="9"/>
        <v>9000</v>
      </c>
      <c r="N33" s="21">
        <f t="shared" si="9"/>
        <v>9000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</row>
    <row r="34" spans="1:26" x14ac:dyDescent="0.3">
      <c r="A34" s="23" t="s">
        <v>2</v>
      </c>
      <c r="B34" s="59"/>
      <c r="C34" s="60"/>
      <c r="D34" s="60"/>
      <c r="E34" s="60"/>
      <c r="F34" s="60"/>
      <c r="G34" s="58"/>
      <c r="H34" s="58"/>
      <c r="I34" s="58"/>
      <c r="J34" s="58"/>
      <c r="K34" s="58"/>
      <c r="L34" s="58"/>
      <c r="M34" s="58"/>
      <c r="N34" s="57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x14ac:dyDescent="0.3">
      <c r="A35" s="8" t="s">
        <v>14</v>
      </c>
      <c r="B35" s="21">
        <v>1</v>
      </c>
      <c r="C35" s="21">
        <v>1</v>
      </c>
      <c r="D35" s="21">
        <v>1</v>
      </c>
      <c r="E35" s="21">
        <v>1</v>
      </c>
      <c r="F35" s="21">
        <v>1</v>
      </c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</row>
    <row r="36" spans="1:26" x14ac:dyDescent="0.3">
      <c r="A36" s="8" t="s">
        <v>12</v>
      </c>
      <c r="B36" s="21">
        <v>1000</v>
      </c>
      <c r="C36" s="21">
        <v>4000</v>
      </c>
      <c r="D36" s="21">
        <v>4000</v>
      </c>
      <c r="E36" s="21">
        <v>4000</v>
      </c>
      <c r="F36" s="21">
        <v>4000</v>
      </c>
      <c r="G36" s="21">
        <v>4000</v>
      </c>
      <c r="H36" s="21">
        <v>4000</v>
      </c>
      <c r="I36" s="21">
        <v>4000</v>
      </c>
      <c r="J36" s="21">
        <v>4000</v>
      </c>
      <c r="K36" s="21">
        <v>4000</v>
      </c>
      <c r="L36" s="21">
        <v>4000</v>
      </c>
      <c r="M36" s="21">
        <v>4000</v>
      </c>
      <c r="N36" s="21">
        <v>4000</v>
      </c>
      <c r="O36" s="42">
        <v>0</v>
      </c>
      <c r="P36" s="42">
        <v>0</v>
      </c>
      <c r="Q36" s="42">
        <v>0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</row>
    <row r="37" spans="1:26" x14ac:dyDescent="0.3">
      <c r="A37" s="8" t="s">
        <v>13</v>
      </c>
      <c r="B37" s="21">
        <v>1000</v>
      </c>
      <c r="C37" s="21">
        <v>4000</v>
      </c>
      <c r="D37" s="21">
        <v>4000</v>
      </c>
      <c r="E37" s="21">
        <v>4000</v>
      </c>
      <c r="F37" s="21">
        <v>4000</v>
      </c>
      <c r="G37" s="21">
        <v>4000</v>
      </c>
      <c r="H37" s="21">
        <v>4000</v>
      </c>
      <c r="I37" s="21">
        <v>4000</v>
      </c>
      <c r="J37" s="21">
        <v>4000</v>
      </c>
      <c r="K37" s="21">
        <v>4000</v>
      </c>
      <c r="L37" s="21">
        <v>4000</v>
      </c>
      <c r="M37" s="21">
        <v>4000</v>
      </c>
      <c r="N37" s="21">
        <v>4000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</row>
    <row r="38" spans="1:26" x14ac:dyDescent="0.3">
      <c r="A38" s="23" t="s">
        <v>10</v>
      </c>
      <c r="B38" s="29">
        <f t="shared" ref="B38:N38" si="10">B5+B9+B13+B17+B21+B25+B29+B33+B37</f>
        <v>128600.04974020574</v>
      </c>
      <c r="C38" s="29">
        <f t="shared" si="10"/>
        <v>244470</v>
      </c>
      <c r="D38" s="29">
        <f t="shared" si="10"/>
        <v>300660</v>
      </c>
      <c r="E38" s="29">
        <f t="shared" si="10"/>
        <v>292050</v>
      </c>
      <c r="F38" s="29">
        <f t="shared" si="10"/>
        <v>246890</v>
      </c>
      <c r="G38" s="29">
        <f t="shared" si="10"/>
        <v>324700</v>
      </c>
      <c r="H38" s="29">
        <f t="shared" si="10"/>
        <v>319750</v>
      </c>
      <c r="I38" s="29">
        <f t="shared" si="10"/>
        <v>309380</v>
      </c>
      <c r="J38" s="29">
        <f t="shared" si="10"/>
        <v>208750</v>
      </c>
      <c r="K38" s="29">
        <f t="shared" si="10"/>
        <v>357830</v>
      </c>
      <c r="L38" s="29">
        <f t="shared" si="10"/>
        <v>430940</v>
      </c>
      <c r="M38" s="29">
        <f t="shared" si="10"/>
        <v>325510</v>
      </c>
      <c r="N38" s="29">
        <f t="shared" si="10"/>
        <v>325810</v>
      </c>
      <c r="O38" s="33">
        <f t="shared" ref="O38:X38" si="11">O5+O9+O13+O17+O21+O25+O29+O33+O37</f>
        <v>0</v>
      </c>
      <c r="P38" s="33">
        <f t="shared" ref="P38:Q38" si="12">P5+P9+P13+P17+P21+P25+P29+P33+P37</f>
        <v>0</v>
      </c>
      <c r="Q38" s="33">
        <f t="shared" si="12"/>
        <v>0</v>
      </c>
      <c r="R38" s="33">
        <f t="shared" ref="R38" si="13">R5+R9+R13+R17+R21+R25+R29+R33+R37</f>
        <v>0</v>
      </c>
      <c r="S38" s="33">
        <f t="shared" si="11"/>
        <v>0</v>
      </c>
      <c r="T38" s="33">
        <f t="shared" si="11"/>
        <v>0</v>
      </c>
      <c r="U38" s="33">
        <f t="shared" si="11"/>
        <v>0</v>
      </c>
      <c r="V38" s="33">
        <f t="shared" si="11"/>
        <v>0</v>
      </c>
      <c r="W38" s="33">
        <f t="shared" si="11"/>
        <v>0</v>
      </c>
      <c r="X38" s="33">
        <f t="shared" si="11"/>
        <v>0</v>
      </c>
      <c r="Y38" s="33">
        <f>Y5+Y9+Y13+Y17+Y21+Y25+Y29+Y33+Y37</f>
        <v>0</v>
      </c>
      <c r="Z38" s="33">
        <f>Z5+Z9+Z13+Z17+Z21+Z25+Z29+Z33+Z37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"/>
  <sheetViews>
    <sheetView topLeftCell="A34" workbookViewId="0">
      <selection activeCell="K31" sqref="K31"/>
    </sheetView>
  </sheetViews>
  <sheetFormatPr defaultRowHeight="15.05" x14ac:dyDescent="0.3"/>
  <cols>
    <col min="1" max="1" width="17" bestFit="1" customWidth="1"/>
    <col min="2" max="2" width="7.33203125" bestFit="1" customWidth="1"/>
    <col min="3" max="3" width="10.109375" bestFit="1" customWidth="1"/>
    <col min="4" max="4" width="16.33203125" bestFit="1" customWidth="1"/>
    <col min="5" max="5" width="16.88671875" bestFit="1" customWidth="1"/>
    <col min="6" max="6" width="15.5546875" bestFit="1" customWidth="1"/>
  </cols>
  <sheetData>
    <row r="1" spans="1:6" x14ac:dyDescent="0.3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</row>
    <row r="2" spans="1:6" hidden="1" x14ac:dyDescent="0.3">
      <c r="A2" t="s">
        <v>86</v>
      </c>
      <c r="B2">
        <v>2022</v>
      </c>
      <c r="C2" t="s">
        <v>87</v>
      </c>
      <c r="D2" t="s">
        <v>88</v>
      </c>
      <c r="E2" t="s">
        <v>1</v>
      </c>
      <c r="F2">
        <v>8303</v>
      </c>
    </row>
    <row r="3" spans="1:6" x14ac:dyDescent="0.3">
      <c r="A3" t="s">
        <v>86</v>
      </c>
      <c r="B3">
        <v>2023</v>
      </c>
      <c r="C3" t="s">
        <v>89</v>
      </c>
      <c r="D3" t="s">
        <v>88</v>
      </c>
      <c r="E3" t="s">
        <v>1</v>
      </c>
      <c r="F3">
        <v>21850</v>
      </c>
    </row>
    <row r="4" spans="1:6" x14ac:dyDescent="0.3">
      <c r="A4" t="s">
        <v>86</v>
      </c>
      <c r="B4">
        <v>2023</v>
      </c>
      <c r="C4" t="s">
        <v>90</v>
      </c>
      <c r="D4" t="s">
        <v>88</v>
      </c>
      <c r="E4" t="s">
        <v>1</v>
      </c>
      <c r="F4">
        <v>32775</v>
      </c>
    </row>
    <row r="5" spans="1:6" x14ac:dyDescent="0.3">
      <c r="A5" t="s">
        <v>86</v>
      </c>
      <c r="B5">
        <v>2023</v>
      </c>
      <c r="C5" t="s">
        <v>91</v>
      </c>
      <c r="D5" t="s">
        <v>88</v>
      </c>
      <c r="E5" t="s">
        <v>1</v>
      </c>
      <c r="F5">
        <v>30590.000000000004</v>
      </c>
    </row>
    <row r="6" spans="1:6" x14ac:dyDescent="0.3">
      <c r="A6" t="s">
        <v>86</v>
      </c>
      <c r="B6">
        <v>2023</v>
      </c>
      <c r="C6" t="s">
        <v>87</v>
      </c>
      <c r="D6" t="s">
        <v>88</v>
      </c>
      <c r="E6" t="s">
        <v>1</v>
      </c>
      <c r="F6">
        <v>13800</v>
      </c>
    </row>
    <row r="7" spans="1:6" x14ac:dyDescent="0.3">
      <c r="A7" t="s">
        <v>86</v>
      </c>
      <c r="B7">
        <v>2024</v>
      </c>
      <c r="C7" t="s">
        <v>89</v>
      </c>
      <c r="D7" t="s">
        <v>88</v>
      </c>
      <c r="E7" t="s">
        <v>1</v>
      </c>
      <c r="F7">
        <v>44200</v>
      </c>
    </row>
    <row r="8" spans="1:6" x14ac:dyDescent="0.3">
      <c r="A8" t="s">
        <v>86</v>
      </c>
      <c r="B8">
        <v>2024</v>
      </c>
      <c r="C8" t="s">
        <v>90</v>
      </c>
      <c r="D8" t="s">
        <v>88</v>
      </c>
      <c r="E8" t="s">
        <v>1</v>
      </c>
      <c r="F8">
        <v>39400</v>
      </c>
    </row>
    <row r="9" spans="1:6" x14ac:dyDescent="0.3">
      <c r="A9" t="s">
        <v>86</v>
      </c>
      <c r="B9">
        <v>2024</v>
      </c>
      <c r="C9" t="s">
        <v>91</v>
      </c>
      <c r="D9" t="s">
        <v>88</v>
      </c>
      <c r="E9" t="s">
        <v>1</v>
      </c>
      <c r="F9">
        <v>31740</v>
      </c>
    </row>
    <row r="10" spans="1:6" x14ac:dyDescent="0.3">
      <c r="A10" t="s">
        <v>86</v>
      </c>
      <c r="B10">
        <v>2024</v>
      </c>
      <c r="C10" t="s">
        <v>87</v>
      </c>
      <c r="D10" t="s">
        <v>88</v>
      </c>
      <c r="E10" t="s">
        <v>1</v>
      </c>
      <c r="F10">
        <v>13260</v>
      </c>
    </row>
    <row r="11" spans="1:6" x14ac:dyDescent="0.3">
      <c r="A11" t="s">
        <v>86</v>
      </c>
      <c r="B11">
        <v>2025</v>
      </c>
      <c r="C11" t="s">
        <v>89</v>
      </c>
      <c r="D11" t="s">
        <v>88</v>
      </c>
      <c r="E11" t="s">
        <v>1</v>
      </c>
      <c r="F11">
        <v>40080</v>
      </c>
    </row>
    <row r="12" spans="1:6" x14ac:dyDescent="0.3">
      <c r="A12" t="s">
        <v>86</v>
      </c>
      <c r="B12">
        <v>2025</v>
      </c>
      <c r="C12" t="s">
        <v>90</v>
      </c>
      <c r="D12" t="s">
        <v>88</v>
      </c>
      <c r="E12" t="s">
        <v>1</v>
      </c>
      <c r="F12">
        <v>54150</v>
      </c>
    </row>
    <row r="13" spans="1:6" x14ac:dyDescent="0.3">
      <c r="A13" t="s">
        <v>86</v>
      </c>
      <c r="B13">
        <v>2025</v>
      </c>
      <c r="C13" t="s">
        <v>91</v>
      </c>
      <c r="D13" t="s">
        <v>88</v>
      </c>
      <c r="E13" t="s">
        <v>1</v>
      </c>
      <c r="F13">
        <v>40092</v>
      </c>
    </row>
    <row r="14" spans="1:6" x14ac:dyDescent="0.3">
      <c r="A14" t="s">
        <v>86</v>
      </c>
      <c r="B14">
        <v>2025</v>
      </c>
      <c r="C14" t="s">
        <v>87</v>
      </c>
      <c r="D14" t="s">
        <v>88</v>
      </c>
      <c r="E14" t="s">
        <v>1</v>
      </c>
      <c r="F14">
        <v>37440</v>
      </c>
    </row>
    <row r="15" spans="1:6" hidden="1" x14ac:dyDescent="0.3">
      <c r="A15" t="s">
        <v>86</v>
      </c>
      <c r="B15">
        <v>2026</v>
      </c>
      <c r="C15" t="s">
        <v>89</v>
      </c>
      <c r="D15" t="s">
        <v>88</v>
      </c>
      <c r="E15" t="s">
        <v>1</v>
      </c>
      <c r="F15">
        <v>0</v>
      </c>
    </row>
    <row r="16" spans="1:6" hidden="1" x14ac:dyDescent="0.3">
      <c r="A16" t="s">
        <v>86</v>
      </c>
      <c r="B16">
        <v>2026</v>
      </c>
      <c r="C16" t="s">
        <v>90</v>
      </c>
      <c r="D16" t="s">
        <v>88</v>
      </c>
      <c r="E16" t="s">
        <v>1</v>
      </c>
      <c r="F16">
        <v>0</v>
      </c>
    </row>
    <row r="17" spans="1:6" hidden="1" x14ac:dyDescent="0.3">
      <c r="A17" t="s">
        <v>86</v>
      </c>
      <c r="B17">
        <v>2026</v>
      </c>
      <c r="C17" t="s">
        <v>91</v>
      </c>
      <c r="D17" t="s">
        <v>88</v>
      </c>
      <c r="E17" t="s">
        <v>1</v>
      </c>
      <c r="F17">
        <v>0</v>
      </c>
    </row>
    <row r="18" spans="1:6" hidden="1" x14ac:dyDescent="0.3">
      <c r="A18" t="s">
        <v>86</v>
      </c>
      <c r="B18">
        <v>2026</v>
      </c>
      <c r="C18" t="s">
        <v>87</v>
      </c>
      <c r="D18" t="s">
        <v>88</v>
      </c>
      <c r="E18" t="s">
        <v>1</v>
      </c>
      <c r="F18">
        <v>0</v>
      </c>
    </row>
    <row r="19" spans="1:6" hidden="1" x14ac:dyDescent="0.3">
      <c r="A19" t="s">
        <v>86</v>
      </c>
      <c r="B19">
        <v>2027</v>
      </c>
      <c r="C19" t="s">
        <v>89</v>
      </c>
      <c r="D19" t="s">
        <v>88</v>
      </c>
      <c r="E19" t="s">
        <v>1</v>
      </c>
      <c r="F19">
        <v>0</v>
      </c>
    </row>
    <row r="20" spans="1:6" hidden="1" x14ac:dyDescent="0.3">
      <c r="A20" t="s">
        <v>86</v>
      </c>
      <c r="B20">
        <v>2027</v>
      </c>
      <c r="C20" t="s">
        <v>90</v>
      </c>
      <c r="D20" t="s">
        <v>88</v>
      </c>
      <c r="E20" t="s">
        <v>1</v>
      </c>
      <c r="F20">
        <v>0</v>
      </c>
    </row>
    <row r="21" spans="1:6" hidden="1" x14ac:dyDescent="0.3">
      <c r="A21" t="s">
        <v>86</v>
      </c>
      <c r="B21">
        <v>2027</v>
      </c>
      <c r="C21" t="s">
        <v>91</v>
      </c>
      <c r="D21" t="s">
        <v>88</v>
      </c>
      <c r="E21" t="s">
        <v>1</v>
      </c>
      <c r="F21">
        <v>0</v>
      </c>
    </row>
    <row r="22" spans="1:6" hidden="1" x14ac:dyDescent="0.3">
      <c r="A22" t="s">
        <v>86</v>
      </c>
      <c r="B22">
        <v>2027</v>
      </c>
      <c r="C22" t="s">
        <v>87</v>
      </c>
      <c r="D22" t="s">
        <v>88</v>
      </c>
      <c r="E22" t="s">
        <v>1</v>
      </c>
      <c r="F22">
        <v>0</v>
      </c>
    </row>
    <row r="23" spans="1:6" hidden="1" x14ac:dyDescent="0.3">
      <c r="A23" t="s">
        <v>86</v>
      </c>
      <c r="B23">
        <v>2028</v>
      </c>
      <c r="C23" t="s">
        <v>89</v>
      </c>
      <c r="D23" t="s">
        <v>88</v>
      </c>
      <c r="E23" t="s">
        <v>1</v>
      </c>
      <c r="F23">
        <v>0</v>
      </c>
    </row>
    <row r="24" spans="1:6" hidden="1" x14ac:dyDescent="0.3">
      <c r="A24" t="s">
        <v>86</v>
      </c>
      <c r="B24">
        <v>2028</v>
      </c>
      <c r="C24" t="s">
        <v>90</v>
      </c>
      <c r="D24" t="s">
        <v>88</v>
      </c>
      <c r="E24" t="s">
        <v>1</v>
      </c>
      <c r="F24">
        <v>0</v>
      </c>
    </row>
    <row r="25" spans="1:6" hidden="1" x14ac:dyDescent="0.3">
      <c r="A25" t="s">
        <v>86</v>
      </c>
      <c r="B25">
        <v>2028</v>
      </c>
      <c r="C25" t="s">
        <v>91</v>
      </c>
      <c r="D25" t="s">
        <v>88</v>
      </c>
      <c r="E25" t="s">
        <v>1</v>
      </c>
      <c r="F25">
        <v>0</v>
      </c>
    </row>
    <row r="26" spans="1:6" hidden="1" x14ac:dyDescent="0.3">
      <c r="A26" t="s">
        <v>86</v>
      </c>
      <c r="B26">
        <v>2028</v>
      </c>
      <c r="C26" t="s">
        <v>87</v>
      </c>
      <c r="D26" t="s">
        <v>88</v>
      </c>
      <c r="E26" t="s">
        <v>1</v>
      </c>
      <c r="F26">
        <v>0</v>
      </c>
    </row>
    <row r="27" spans="1:6" hidden="1" x14ac:dyDescent="0.3">
      <c r="A27" t="s">
        <v>86</v>
      </c>
      <c r="B27">
        <v>2022</v>
      </c>
      <c r="C27" t="s">
        <v>87</v>
      </c>
      <c r="D27" t="s">
        <v>88</v>
      </c>
      <c r="E27" t="s">
        <v>3</v>
      </c>
      <c r="F27">
        <v>6120</v>
      </c>
    </row>
    <row r="28" spans="1:6" x14ac:dyDescent="0.3">
      <c r="A28" t="s">
        <v>86</v>
      </c>
      <c r="B28">
        <v>2023</v>
      </c>
      <c r="C28" t="s">
        <v>89</v>
      </c>
      <c r="D28" t="s">
        <v>88</v>
      </c>
      <c r="E28" t="s">
        <v>3</v>
      </c>
      <c r="F28">
        <v>34100</v>
      </c>
    </row>
    <row r="29" spans="1:6" x14ac:dyDescent="0.3">
      <c r="A29" t="s">
        <v>86</v>
      </c>
      <c r="B29">
        <v>2023</v>
      </c>
      <c r="C29" t="s">
        <v>90</v>
      </c>
      <c r="D29" t="s">
        <v>88</v>
      </c>
      <c r="E29" t="s">
        <v>3</v>
      </c>
      <c r="F29">
        <v>34700</v>
      </c>
    </row>
    <row r="30" spans="1:6" x14ac:dyDescent="0.3">
      <c r="A30" t="s">
        <v>86</v>
      </c>
      <c r="B30">
        <v>2023</v>
      </c>
      <c r="C30" t="s">
        <v>91</v>
      </c>
      <c r="D30" t="s">
        <v>88</v>
      </c>
      <c r="E30" t="s">
        <v>3</v>
      </c>
      <c r="F30">
        <v>26325</v>
      </c>
    </row>
    <row r="31" spans="1:6" x14ac:dyDescent="0.3">
      <c r="A31" t="s">
        <v>86</v>
      </c>
      <c r="B31">
        <v>2023</v>
      </c>
      <c r="C31" t="s">
        <v>87</v>
      </c>
      <c r="D31" t="s">
        <v>88</v>
      </c>
      <c r="E31" t="s">
        <v>3</v>
      </c>
      <c r="F31">
        <v>12390</v>
      </c>
    </row>
    <row r="32" spans="1:6" x14ac:dyDescent="0.3">
      <c r="A32" t="s">
        <v>86</v>
      </c>
      <c r="B32">
        <v>2024</v>
      </c>
      <c r="C32" t="s">
        <v>89</v>
      </c>
      <c r="D32" t="s">
        <v>88</v>
      </c>
      <c r="E32" t="s">
        <v>3</v>
      </c>
      <c r="F32">
        <v>23010</v>
      </c>
    </row>
    <row r="33" spans="1:6" x14ac:dyDescent="0.3">
      <c r="A33" t="s">
        <v>86</v>
      </c>
      <c r="B33">
        <v>2024</v>
      </c>
      <c r="C33" t="s">
        <v>90</v>
      </c>
      <c r="D33" t="s">
        <v>88</v>
      </c>
      <c r="E33" t="s">
        <v>3</v>
      </c>
      <c r="F33">
        <v>35400</v>
      </c>
    </row>
    <row r="34" spans="1:6" x14ac:dyDescent="0.3">
      <c r="A34" t="s">
        <v>86</v>
      </c>
      <c r="B34">
        <v>2024</v>
      </c>
      <c r="C34" t="s">
        <v>91</v>
      </c>
      <c r="D34" t="s">
        <v>88</v>
      </c>
      <c r="E34" t="s">
        <v>3</v>
      </c>
      <c r="F34">
        <v>20394</v>
      </c>
    </row>
    <row r="35" spans="1:6" x14ac:dyDescent="0.3">
      <c r="A35" t="s">
        <v>86</v>
      </c>
      <c r="B35">
        <v>2024</v>
      </c>
      <c r="C35" t="s">
        <v>87</v>
      </c>
      <c r="D35" t="s">
        <v>88</v>
      </c>
      <c r="E35" t="s">
        <v>3</v>
      </c>
      <c r="F35">
        <v>16686</v>
      </c>
    </row>
    <row r="36" spans="1:6" x14ac:dyDescent="0.3">
      <c r="A36" t="s">
        <v>86</v>
      </c>
      <c r="B36">
        <v>2025</v>
      </c>
      <c r="C36" t="s">
        <v>89</v>
      </c>
      <c r="D36" t="s">
        <v>88</v>
      </c>
      <c r="E36" t="s">
        <v>3</v>
      </c>
      <c r="F36">
        <v>27810</v>
      </c>
    </row>
    <row r="37" spans="1:6" x14ac:dyDescent="0.3">
      <c r="A37" t="s">
        <v>86</v>
      </c>
      <c r="B37">
        <v>2025</v>
      </c>
      <c r="C37" t="s">
        <v>90</v>
      </c>
      <c r="D37" t="s">
        <v>88</v>
      </c>
      <c r="E37" t="s">
        <v>3</v>
      </c>
      <c r="F37">
        <v>37080</v>
      </c>
    </row>
    <row r="38" spans="1:6" x14ac:dyDescent="0.3">
      <c r="A38" t="s">
        <v>86</v>
      </c>
      <c r="B38">
        <v>2025</v>
      </c>
      <c r="C38" t="s">
        <v>91</v>
      </c>
      <c r="D38" t="s">
        <v>88</v>
      </c>
      <c r="E38" t="s">
        <v>3</v>
      </c>
      <c r="F38">
        <v>20394</v>
      </c>
    </row>
    <row r="39" spans="1:6" x14ac:dyDescent="0.3">
      <c r="A39" t="s">
        <v>86</v>
      </c>
      <c r="B39">
        <v>2025</v>
      </c>
      <c r="C39" t="s">
        <v>87</v>
      </c>
      <c r="D39" t="s">
        <v>88</v>
      </c>
      <c r="E39" t="s">
        <v>3</v>
      </c>
      <c r="F39">
        <v>20911</v>
      </c>
    </row>
    <row r="40" spans="1:6" hidden="1" x14ac:dyDescent="0.3">
      <c r="A40" t="s">
        <v>86</v>
      </c>
      <c r="B40">
        <v>2026</v>
      </c>
      <c r="C40" t="s">
        <v>89</v>
      </c>
      <c r="D40" t="s">
        <v>88</v>
      </c>
      <c r="E40" t="s">
        <v>3</v>
      </c>
      <c r="F40">
        <v>0</v>
      </c>
    </row>
    <row r="41" spans="1:6" hidden="1" x14ac:dyDescent="0.3">
      <c r="A41" t="s">
        <v>86</v>
      </c>
      <c r="B41">
        <v>2026</v>
      </c>
      <c r="C41" t="s">
        <v>90</v>
      </c>
      <c r="D41" t="s">
        <v>88</v>
      </c>
      <c r="E41" t="s">
        <v>3</v>
      </c>
      <c r="F41">
        <v>0</v>
      </c>
    </row>
    <row r="42" spans="1:6" hidden="1" x14ac:dyDescent="0.3">
      <c r="A42" t="s">
        <v>86</v>
      </c>
      <c r="B42">
        <v>2026</v>
      </c>
      <c r="C42" t="s">
        <v>91</v>
      </c>
      <c r="D42" t="s">
        <v>88</v>
      </c>
      <c r="E42" t="s">
        <v>3</v>
      </c>
      <c r="F42">
        <v>0</v>
      </c>
    </row>
    <row r="43" spans="1:6" hidden="1" x14ac:dyDescent="0.3">
      <c r="A43" t="s">
        <v>86</v>
      </c>
      <c r="B43">
        <v>2026</v>
      </c>
      <c r="C43" t="s">
        <v>87</v>
      </c>
      <c r="D43" t="s">
        <v>88</v>
      </c>
      <c r="E43" t="s">
        <v>3</v>
      </c>
      <c r="F43">
        <v>0</v>
      </c>
    </row>
    <row r="44" spans="1:6" hidden="1" x14ac:dyDescent="0.3">
      <c r="A44" t="s">
        <v>86</v>
      </c>
      <c r="B44">
        <v>2027</v>
      </c>
      <c r="C44" t="s">
        <v>89</v>
      </c>
      <c r="D44" t="s">
        <v>88</v>
      </c>
      <c r="E44" t="s">
        <v>3</v>
      </c>
      <c r="F44">
        <v>0</v>
      </c>
    </row>
    <row r="45" spans="1:6" hidden="1" x14ac:dyDescent="0.3">
      <c r="A45" t="s">
        <v>86</v>
      </c>
      <c r="B45">
        <v>2027</v>
      </c>
      <c r="C45" t="s">
        <v>90</v>
      </c>
      <c r="D45" t="s">
        <v>88</v>
      </c>
      <c r="E45" t="s">
        <v>3</v>
      </c>
      <c r="F45">
        <v>0</v>
      </c>
    </row>
    <row r="46" spans="1:6" hidden="1" x14ac:dyDescent="0.3">
      <c r="A46" t="s">
        <v>86</v>
      </c>
      <c r="B46">
        <v>2027</v>
      </c>
      <c r="C46" t="s">
        <v>91</v>
      </c>
      <c r="D46" t="s">
        <v>88</v>
      </c>
      <c r="E46" t="s">
        <v>3</v>
      </c>
      <c r="F46">
        <v>0</v>
      </c>
    </row>
    <row r="47" spans="1:6" hidden="1" x14ac:dyDescent="0.3">
      <c r="A47" t="s">
        <v>86</v>
      </c>
      <c r="B47">
        <v>2027</v>
      </c>
      <c r="C47" t="s">
        <v>87</v>
      </c>
      <c r="D47" t="s">
        <v>88</v>
      </c>
      <c r="E47" t="s">
        <v>3</v>
      </c>
      <c r="F47">
        <v>0</v>
      </c>
    </row>
    <row r="48" spans="1:6" hidden="1" x14ac:dyDescent="0.3">
      <c r="A48" t="s">
        <v>86</v>
      </c>
      <c r="B48">
        <v>2028</v>
      </c>
      <c r="C48" t="s">
        <v>89</v>
      </c>
      <c r="D48" t="s">
        <v>88</v>
      </c>
      <c r="E48" t="s">
        <v>3</v>
      </c>
      <c r="F48">
        <v>0</v>
      </c>
    </row>
    <row r="49" spans="1:6" hidden="1" x14ac:dyDescent="0.3">
      <c r="A49" t="s">
        <v>86</v>
      </c>
      <c r="B49">
        <v>2028</v>
      </c>
      <c r="C49" t="s">
        <v>90</v>
      </c>
      <c r="D49" t="s">
        <v>88</v>
      </c>
      <c r="E49" t="s">
        <v>3</v>
      </c>
      <c r="F49">
        <v>0</v>
      </c>
    </row>
    <row r="50" spans="1:6" hidden="1" x14ac:dyDescent="0.3">
      <c r="A50" t="s">
        <v>86</v>
      </c>
      <c r="B50">
        <v>2028</v>
      </c>
      <c r="C50" t="s">
        <v>91</v>
      </c>
      <c r="D50" t="s">
        <v>88</v>
      </c>
      <c r="E50" t="s">
        <v>3</v>
      </c>
      <c r="F50">
        <v>0</v>
      </c>
    </row>
    <row r="51" spans="1:6" hidden="1" x14ac:dyDescent="0.3">
      <c r="A51" t="s">
        <v>86</v>
      </c>
      <c r="B51">
        <v>2028</v>
      </c>
      <c r="C51" t="s">
        <v>87</v>
      </c>
      <c r="D51" t="s">
        <v>88</v>
      </c>
      <c r="E51" t="s">
        <v>3</v>
      </c>
      <c r="F51">
        <v>0</v>
      </c>
    </row>
    <row r="52" spans="1:6" hidden="1" x14ac:dyDescent="0.3">
      <c r="A52" t="s">
        <v>86</v>
      </c>
      <c r="B52">
        <v>2022</v>
      </c>
      <c r="C52" t="s">
        <v>87</v>
      </c>
      <c r="D52" t="s">
        <v>88</v>
      </c>
      <c r="E52" t="s">
        <v>4</v>
      </c>
      <c r="F52">
        <v>59400</v>
      </c>
    </row>
    <row r="53" spans="1:6" x14ac:dyDescent="0.3">
      <c r="A53" t="s">
        <v>86</v>
      </c>
      <c r="B53">
        <v>2023</v>
      </c>
      <c r="C53" t="s">
        <v>89</v>
      </c>
      <c r="D53" t="s">
        <v>88</v>
      </c>
      <c r="E53" t="s">
        <v>4</v>
      </c>
      <c r="F53">
        <v>99000</v>
      </c>
    </row>
    <row r="54" spans="1:6" x14ac:dyDescent="0.3">
      <c r="A54" t="s">
        <v>86</v>
      </c>
      <c r="B54">
        <v>2023</v>
      </c>
      <c r="C54" t="s">
        <v>90</v>
      </c>
      <c r="D54" t="s">
        <v>88</v>
      </c>
      <c r="E54" t="s">
        <v>4</v>
      </c>
      <c r="F54">
        <v>118800</v>
      </c>
    </row>
    <row r="55" spans="1:6" x14ac:dyDescent="0.3">
      <c r="A55" t="s">
        <v>86</v>
      </c>
      <c r="B55">
        <v>2023</v>
      </c>
      <c r="C55" t="s">
        <v>91</v>
      </c>
      <c r="D55" t="s">
        <v>88</v>
      </c>
      <c r="E55" t="s">
        <v>4</v>
      </c>
      <c r="F55">
        <v>118800</v>
      </c>
    </row>
    <row r="56" spans="1:6" x14ac:dyDescent="0.3">
      <c r="A56" t="s">
        <v>86</v>
      </c>
      <c r="B56">
        <v>2023</v>
      </c>
      <c r="C56" t="s">
        <v>87</v>
      </c>
      <c r="D56" t="s">
        <v>88</v>
      </c>
      <c r="E56" t="s">
        <v>4</v>
      </c>
      <c r="F56">
        <v>118800</v>
      </c>
    </row>
    <row r="57" spans="1:6" x14ac:dyDescent="0.3">
      <c r="A57" t="s">
        <v>86</v>
      </c>
      <c r="B57">
        <v>2024</v>
      </c>
      <c r="C57" t="s">
        <v>89</v>
      </c>
      <c r="D57" t="s">
        <v>88</v>
      </c>
      <c r="E57" t="s">
        <v>4</v>
      </c>
      <c r="F57">
        <v>121200</v>
      </c>
    </row>
    <row r="58" spans="1:6" x14ac:dyDescent="0.3">
      <c r="A58" t="s">
        <v>86</v>
      </c>
      <c r="B58">
        <v>2024</v>
      </c>
      <c r="C58" t="s">
        <v>90</v>
      </c>
      <c r="D58" t="s">
        <v>88</v>
      </c>
      <c r="E58" t="s">
        <v>4</v>
      </c>
      <c r="F58">
        <v>115000</v>
      </c>
    </row>
    <row r="59" spans="1:6" x14ac:dyDescent="0.3">
      <c r="A59" t="s">
        <v>86</v>
      </c>
      <c r="B59">
        <v>2024</v>
      </c>
      <c r="C59" t="s">
        <v>91</v>
      </c>
      <c r="D59" t="s">
        <v>88</v>
      </c>
      <c r="E59" t="s">
        <v>4</v>
      </c>
      <c r="F59">
        <v>115000</v>
      </c>
    </row>
    <row r="60" spans="1:6" x14ac:dyDescent="0.3">
      <c r="A60" t="s">
        <v>86</v>
      </c>
      <c r="B60">
        <v>2024</v>
      </c>
      <c r="C60" t="s">
        <v>87</v>
      </c>
      <c r="D60" t="s">
        <v>88</v>
      </c>
      <c r="E60" t="s">
        <v>4</v>
      </c>
      <c r="F60">
        <v>80500</v>
      </c>
    </row>
    <row r="61" spans="1:6" x14ac:dyDescent="0.3">
      <c r="A61" t="s">
        <v>86</v>
      </c>
      <c r="B61">
        <v>2025</v>
      </c>
      <c r="C61" t="s">
        <v>89</v>
      </c>
      <c r="D61" t="s">
        <v>88</v>
      </c>
      <c r="E61" t="s">
        <v>4</v>
      </c>
      <c r="F61">
        <v>100000</v>
      </c>
    </row>
    <row r="62" spans="1:6" x14ac:dyDescent="0.3">
      <c r="A62" t="s">
        <v>86</v>
      </c>
      <c r="B62">
        <v>2025</v>
      </c>
      <c r="C62" t="s">
        <v>90</v>
      </c>
      <c r="D62" t="s">
        <v>88</v>
      </c>
      <c r="E62" t="s">
        <v>4</v>
      </c>
      <c r="F62">
        <v>160800</v>
      </c>
    </row>
    <row r="63" spans="1:6" x14ac:dyDescent="0.3">
      <c r="A63" t="s">
        <v>86</v>
      </c>
      <c r="B63">
        <v>2025</v>
      </c>
      <c r="C63" t="s">
        <v>91</v>
      </c>
      <c r="D63" t="s">
        <v>88</v>
      </c>
      <c r="E63" t="s">
        <v>4</v>
      </c>
      <c r="F63">
        <v>134000</v>
      </c>
    </row>
    <row r="64" spans="1:6" x14ac:dyDescent="0.3">
      <c r="A64" t="s">
        <v>86</v>
      </c>
      <c r="B64">
        <v>2025</v>
      </c>
      <c r="C64" t="s">
        <v>87</v>
      </c>
      <c r="D64" t="s">
        <v>88</v>
      </c>
      <c r="E64" t="s">
        <v>4</v>
      </c>
      <c r="F64">
        <v>101000</v>
      </c>
    </row>
    <row r="65" spans="1:6" hidden="1" x14ac:dyDescent="0.3">
      <c r="A65" t="s">
        <v>86</v>
      </c>
      <c r="B65">
        <v>2026</v>
      </c>
      <c r="C65" t="s">
        <v>89</v>
      </c>
      <c r="D65" t="s">
        <v>88</v>
      </c>
      <c r="E65" t="s">
        <v>4</v>
      </c>
      <c r="F65">
        <v>0</v>
      </c>
    </row>
    <row r="66" spans="1:6" hidden="1" x14ac:dyDescent="0.3">
      <c r="A66" t="s">
        <v>86</v>
      </c>
      <c r="B66">
        <v>2026</v>
      </c>
      <c r="C66" t="s">
        <v>90</v>
      </c>
      <c r="D66" t="s">
        <v>88</v>
      </c>
      <c r="E66" t="s">
        <v>4</v>
      </c>
      <c r="F66">
        <v>0</v>
      </c>
    </row>
    <row r="67" spans="1:6" hidden="1" x14ac:dyDescent="0.3">
      <c r="A67" t="s">
        <v>86</v>
      </c>
      <c r="B67">
        <v>2026</v>
      </c>
      <c r="C67" t="s">
        <v>91</v>
      </c>
      <c r="D67" t="s">
        <v>88</v>
      </c>
      <c r="E67" t="s">
        <v>4</v>
      </c>
      <c r="F67">
        <v>0</v>
      </c>
    </row>
    <row r="68" spans="1:6" hidden="1" x14ac:dyDescent="0.3">
      <c r="A68" t="s">
        <v>86</v>
      </c>
      <c r="B68">
        <v>2026</v>
      </c>
      <c r="C68" t="s">
        <v>87</v>
      </c>
      <c r="D68" t="s">
        <v>88</v>
      </c>
      <c r="E68" t="s">
        <v>4</v>
      </c>
      <c r="F68">
        <v>0</v>
      </c>
    </row>
    <row r="69" spans="1:6" hidden="1" x14ac:dyDescent="0.3">
      <c r="A69" t="s">
        <v>86</v>
      </c>
      <c r="B69">
        <v>2027</v>
      </c>
      <c r="C69" t="s">
        <v>89</v>
      </c>
      <c r="D69" t="s">
        <v>88</v>
      </c>
      <c r="E69" t="s">
        <v>4</v>
      </c>
      <c r="F69">
        <v>0</v>
      </c>
    </row>
    <row r="70" spans="1:6" hidden="1" x14ac:dyDescent="0.3">
      <c r="A70" t="s">
        <v>86</v>
      </c>
      <c r="B70">
        <v>2027</v>
      </c>
      <c r="C70" t="s">
        <v>90</v>
      </c>
      <c r="D70" t="s">
        <v>88</v>
      </c>
      <c r="E70" t="s">
        <v>4</v>
      </c>
      <c r="F70">
        <v>0</v>
      </c>
    </row>
    <row r="71" spans="1:6" hidden="1" x14ac:dyDescent="0.3">
      <c r="A71" t="s">
        <v>86</v>
      </c>
      <c r="B71">
        <v>2027</v>
      </c>
      <c r="C71" t="s">
        <v>91</v>
      </c>
      <c r="D71" t="s">
        <v>88</v>
      </c>
      <c r="E71" t="s">
        <v>4</v>
      </c>
      <c r="F71">
        <v>0</v>
      </c>
    </row>
    <row r="72" spans="1:6" hidden="1" x14ac:dyDescent="0.3">
      <c r="A72" t="s">
        <v>86</v>
      </c>
      <c r="B72">
        <v>2027</v>
      </c>
      <c r="C72" t="s">
        <v>87</v>
      </c>
      <c r="D72" t="s">
        <v>88</v>
      </c>
      <c r="E72" t="s">
        <v>4</v>
      </c>
      <c r="F72">
        <v>0</v>
      </c>
    </row>
    <row r="73" spans="1:6" hidden="1" x14ac:dyDescent="0.3">
      <c r="A73" t="s">
        <v>86</v>
      </c>
      <c r="B73">
        <v>2028</v>
      </c>
      <c r="C73" t="s">
        <v>89</v>
      </c>
      <c r="D73" t="s">
        <v>88</v>
      </c>
      <c r="E73" t="s">
        <v>4</v>
      </c>
      <c r="F73">
        <v>0</v>
      </c>
    </row>
    <row r="74" spans="1:6" hidden="1" x14ac:dyDescent="0.3">
      <c r="A74" t="s">
        <v>86</v>
      </c>
      <c r="B74">
        <v>2028</v>
      </c>
      <c r="C74" t="s">
        <v>90</v>
      </c>
      <c r="D74" t="s">
        <v>88</v>
      </c>
      <c r="E74" t="s">
        <v>4</v>
      </c>
      <c r="F74">
        <v>0</v>
      </c>
    </row>
    <row r="75" spans="1:6" hidden="1" x14ac:dyDescent="0.3">
      <c r="A75" t="s">
        <v>86</v>
      </c>
      <c r="B75">
        <v>2028</v>
      </c>
      <c r="C75" t="s">
        <v>91</v>
      </c>
      <c r="D75" t="s">
        <v>88</v>
      </c>
      <c r="E75" t="s">
        <v>4</v>
      </c>
      <c r="F75">
        <v>0</v>
      </c>
    </row>
    <row r="76" spans="1:6" hidden="1" x14ac:dyDescent="0.3">
      <c r="A76" t="s">
        <v>86</v>
      </c>
      <c r="B76">
        <v>2028</v>
      </c>
      <c r="C76" t="s">
        <v>87</v>
      </c>
      <c r="D76" t="s">
        <v>88</v>
      </c>
      <c r="E76" t="s">
        <v>4</v>
      </c>
      <c r="F76">
        <v>0</v>
      </c>
    </row>
    <row r="77" spans="1:6" hidden="1" x14ac:dyDescent="0.3">
      <c r="A77" t="s">
        <v>86</v>
      </c>
      <c r="B77">
        <v>2022</v>
      </c>
      <c r="C77" t="s">
        <v>87</v>
      </c>
      <c r="D77" t="s">
        <v>88</v>
      </c>
      <c r="E77" t="s">
        <v>5</v>
      </c>
      <c r="F77">
        <v>0</v>
      </c>
    </row>
    <row r="78" spans="1:6" x14ac:dyDescent="0.3">
      <c r="A78" t="s">
        <v>86</v>
      </c>
      <c r="B78">
        <v>2023</v>
      </c>
      <c r="C78" t="s">
        <v>89</v>
      </c>
      <c r="D78" t="s">
        <v>88</v>
      </c>
      <c r="E78" t="s">
        <v>5</v>
      </c>
      <c r="F78">
        <v>0</v>
      </c>
    </row>
    <row r="79" spans="1:6" x14ac:dyDescent="0.3">
      <c r="A79" t="s">
        <v>86</v>
      </c>
      <c r="B79">
        <v>2023</v>
      </c>
      <c r="C79" t="s">
        <v>90</v>
      </c>
      <c r="D79" t="s">
        <v>88</v>
      </c>
      <c r="E79" t="s">
        <v>5</v>
      </c>
      <c r="F79">
        <v>0</v>
      </c>
    </row>
    <row r="80" spans="1:6" x14ac:dyDescent="0.3">
      <c r="A80" t="s">
        <v>86</v>
      </c>
      <c r="B80">
        <v>2023</v>
      </c>
      <c r="C80" t="s">
        <v>91</v>
      </c>
      <c r="D80" t="s">
        <v>88</v>
      </c>
      <c r="E80" t="s">
        <v>5</v>
      </c>
      <c r="F80">
        <v>0</v>
      </c>
    </row>
    <row r="81" spans="1:6" x14ac:dyDescent="0.3">
      <c r="A81" t="s">
        <v>86</v>
      </c>
      <c r="B81">
        <v>2023</v>
      </c>
      <c r="C81" t="s">
        <v>87</v>
      </c>
      <c r="D81" t="s">
        <v>88</v>
      </c>
      <c r="E81" t="s">
        <v>5</v>
      </c>
      <c r="F81">
        <v>0</v>
      </c>
    </row>
    <row r="82" spans="1:6" x14ac:dyDescent="0.3">
      <c r="A82" t="s">
        <v>86</v>
      </c>
      <c r="B82">
        <v>2024</v>
      </c>
      <c r="C82" t="s">
        <v>89</v>
      </c>
      <c r="D82" t="s">
        <v>88</v>
      </c>
      <c r="E82" t="s">
        <v>5</v>
      </c>
      <c r="F82">
        <v>0</v>
      </c>
    </row>
    <row r="83" spans="1:6" x14ac:dyDescent="0.3">
      <c r="A83" t="s">
        <v>86</v>
      </c>
      <c r="B83">
        <v>2024</v>
      </c>
      <c r="C83" t="s">
        <v>90</v>
      </c>
      <c r="D83" t="s">
        <v>88</v>
      </c>
      <c r="E83" t="s">
        <v>5</v>
      </c>
      <c r="F83">
        <v>1750</v>
      </c>
    </row>
    <row r="84" spans="1:6" x14ac:dyDescent="0.3">
      <c r="A84" t="s">
        <v>86</v>
      </c>
      <c r="B84">
        <v>2024</v>
      </c>
      <c r="C84" t="s">
        <v>91</v>
      </c>
      <c r="D84" t="s">
        <v>88</v>
      </c>
      <c r="E84" t="s">
        <v>5</v>
      </c>
      <c r="F84">
        <v>610</v>
      </c>
    </row>
    <row r="85" spans="1:6" x14ac:dyDescent="0.3">
      <c r="A85" t="s">
        <v>86</v>
      </c>
      <c r="B85">
        <v>2024</v>
      </c>
      <c r="C85" t="s">
        <v>87</v>
      </c>
      <c r="D85" t="s">
        <v>88</v>
      </c>
      <c r="E85" t="s">
        <v>5</v>
      </c>
      <c r="F85">
        <v>1425</v>
      </c>
    </row>
    <row r="86" spans="1:6" x14ac:dyDescent="0.3">
      <c r="A86" t="s">
        <v>86</v>
      </c>
      <c r="B86">
        <v>2025</v>
      </c>
      <c r="C86" t="s">
        <v>89</v>
      </c>
      <c r="D86" t="s">
        <v>88</v>
      </c>
      <c r="E86" t="s">
        <v>5</v>
      </c>
      <c r="F86">
        <v>9500</v>
      </c>
    </row>
    <row r="87" spans="1:6" x14ac:dyDescent="0.3">
      <c r="A87" t="s">
        <v>86</v>
      </c>
      <c r="B87">
        <v>2025</v>
      </c>
      <c r="C87" t="s">
        <v>90</v>
      </c>
      <c r="D87" t="s">
        <v>88</v>
      </c>
      <c r="E87" t="s">
        <v>5</v>
      </c>
      <c r="F87">
        <v>4750</v>
      </c>
    </row>
    <row r="88" spans="1:6" x14ac:dyDescent="0.3">
      <c r="A88" t="s">
        <v>86</v>
      </c>
      <c r="B88">
        <v>2025</v>
      </c>
      <c r="C88" t="s">
        <v>91</v>
      </c>
      <c r="D88" t="s">
        <v>88</v>
      </c>
      <c r="E88" t="s">
        <v>5</v>
      </c>
      <c r="F88">
        <v>1425</v>
      </c>
    </row>
    <row r="89" spans="1:6" x14ac:dyDescent="0.3">
      <c r="A89" t="s">
        <v>86</v>
      </c>
      <c r="B89">
        <v>2025</v>
      </c>
      <c r="C89" t="s">
        <v>87</v>
      </c>
      <c r="D89" t="s">
        <v>88</v>
      </c>
      <c r="E89" t="s">
        <v>5</v>
      </c>
      <c r="F89">
        <v>1590</v>
      </c>
    </row>
    <row r="90" spans="1:6" hidden="1" x14ac:dyDescent="0.3">
      <c r="A90" t="s">
        <v>86</v>
      </c>
      <c r="B90">
        <v>2026</v>
      </c>
      <c r="C90" t="s">
        <v>89</v>
      </c>
      <c r="D90" t="s">
        <v>88</v>
      </c>
      <c r="E90" t="s">
        <v>5</v>
      </c>
      <c r="F90">
        <v>0</v>
      </c>
    </row>
    <row r="91" spans="1:6" hidden="1" x14ac:dyDescent="0.3">
      <c r="A91" t="s">
        <v>86</v>
      </c>
      <c r="B91">
        <v>2026</v>
      </c>
      <c r="C91" t="s">
        <v>90</v>
      </c>
      <c r="D91" t="s">
        <v>88</v>
      </c>
      <c r="E91" t="s">
        <v>5</v>
      </c>
      <c r="F91">
        <v>0</v>
      </c>
    </row>
    <row r="92" spans="1:6" hidden="1" x14ac:dyDescent="0.3">
      <c r="A92" t="s">
        <v>86</v>
      </c>
      <c r="B92">
        <v>2026</v>
      </c>
      <c r="C92" t="s">
        <v>91</v>
      </c>
      <c r="D92" t="s">
        <v>88</v>
      </c>
      <c r="E92" t="s">
        <v>5</v>
      </c>
      <c r="F92">
        <v>0</v>
      </c>
    </row>
    <row r="93" spans="1:6" hidden="1" x14ac:dyDescent="0.3">
      <c r="A93" t="s">
        <v>86</v>
      </c>
      <c r="B93">
        <v>2026</v>
      </c>
      <c r="C93" t="s">
        <v>87</v>
      </c>
      <c r="D93" t="s">
        <v>88</v>
      </c>
      <c r="E93" t="s">
        <v>5</v>
      </c>
      <c r="F93">
        <v>0</v>
      </c>
    </row>
    <row r="94" spans="1:6" hidden="1" x14ac:dyDescent="0.3">
      <c r="A94" t="s">
        <v>86</v>
      </c>
      <c r="B94">
        <v>2027</v>
      </c>
      <c r="C94" t="s">
        <v>89</v>
      </c>
      <c r="D94" t="s">
        <v>88</v>
      </c>
      <c r="E94" t="s">
        <v>5</v>
      </c>
      <c r="F94">
        <v>0</v>
      </c>
    </row>
    <row r="95" spans="1:6" hidden="1" x14ac:dyDescent="0.3">
      <c r="A95" t="s">
        <v>86</v>
      </c>
      <c r="B95">
        <v>2027</v>
      </c>
      <c r="C95" t="s">
        <v>90</v>
      </c>
      <c r="D95" t="s">
        <v>88</v>
      </c>
      <c r="E95" t="s">
        <v>5</v>
      </c>
      <c r="F95">
        <v>0</v>
      </c>
    </row>
    <row r="96" spans="1:6" hidden="1" x14ac:dyDescent="0.3">
      <c r="A96" t="s">
        <v>86</v>
      </c>
      <c r="B96">
        <v>2027</v>
      </c>
      <c r="C96" t="s">
        <v>91</v>
      </c>
      <c r="D96" t="s">
        <v>88</v>
      </c>
      <c r="E96" t="s">
        <v>5</v>
      </c>
      <c r="F96">
        <v>0</v>
      </c>
    </row>
    <row r="97" spans="1:6" hidden="1" x14ac:dyDescent="0.3">
      <c r="A97" t="s">
        <v>86</v>
      </c>
      <c r="B97">
        <v>2027</v>
      </c>
      <c r="C97" t="s">
        <v>87</v>
      </c>
      <c r="D97" t="s">
        <v>88</v>
      </c>
      <c r="E97" t="s">
        <v>5</v>
      </c>
      <c r="F97">
        <v>0</v>
      </c>
    </row>
    <row r="98" spans="1:6" hidden="1" x14ac:dyDescent="0.3">
      <c r="A98" t="s">
        <v>86</v>
      </c>
      <c r="B98">
        <v>2028</v>
      </c>
      <c r="C98" t="s">
        <v>89</v>
      </c>
      <c r="D98" t="s">
        <v>88</v>
      </c>
      <c r="E98" t="s">
        <v>5</v>
      </c>
      <c r="F98">
        <v>0</v>
      </c>
    </row>
    <row r="99" spans="1:6" hidden="1" x14ac:dyDescent="0.3">
      <c r="A99" t="s">
        <v>86</v>
      </c>
      <c r="B99">
        <v>2028</v>
      </c>
      <c r="C99" t="s">
        <v>90</v>
      </c>
      <c r="D99" t="s">
        <v>88</v>
      </c>
      <c r="E99" t="s">
        <v>5</v>
      </c>
      <c r="F99">
        <v>0</v>
      </c>
    </row>
    <row r="100" spans="1:6" hidden="1" x14ac:dyDescent="0.3">
      <c r="A100" t="s">
        <v>86</v>
      </c>
      <c r="B100">
        <v>2028</v>
      </c>
      <c r="C100" t="s">
        <v>91</v>
      </c>
      <c r="D100" t="s">
        <v>88</v>
      </c>
      <c r="E100" t="s">
        <v>5</v>
      </c>
      <c r="F100">
        <v>0</v>
      </c>
    </row>
    <row r="101" spans="1:6" hidden="1" x14ac:dyDescent="0.3">
      <c r="A101" t="s">
        <v>86</v>
      </c>
      <c r="B101">
        <v>2028</v>
      </c>
      <c r="C101" t="s">
        <v>87</v>
      </c>
      <c r="D101" t="s">
        <v>88</v>
      </c>
      <c r="E101" t="s">
        <v>5</v>
      </c>
      <c r="F101">
        <v>0</v>
      </c>
    </row>
    <row r="102" spans="1:6" hidden="1" x14ac:dyDescent="0.3">
      <c r="A102" t="s">
        <v>86</v>
      </c>
      <c r="B102">
        <v>2022</v>
      </c>
      <c r="C102" t="s">
        <v>87</v>
      </c>
      <c r="D102" t="s">
        <v>88</v>
      </c>
      <c r="E102" t="s">
        <v>6</v>
      </c>
      <c r="F102">
        <v>11480</v>
      </c>
    </row>
    <row r="103" spans="1:6" x14ac:dyDescent="0.3">
      <c r="A103" t="s">
        <v>86</v>
      </c>
      <c r="B103">
        <v>2023</v>
      </c>
      <c r="C103" t="s">
        <v>89</v>
      </c>
      <c r="D103" t="s">
        <v>88</v>
      </c>
      <c r="E103" t="s">
        <v>6</v>
      </c>
      <c r="F103">
        <v>6765</v>
      </c>
    </row>
    <row r="104" spans="1:6" x14ac:dyDescent="0.3">
      <c r="A104" t="s">
        <v>86</v>
      </c>
      <c r="B104">
        <v>2023</v>
      </c>
      <c r="C104" t="s">
        <v>90</v>
      </c>
      <c r="D104" t="s">
        <v>88</v>
      </c>
      <c r="E104" t="s">
        <v>6</v>
      </c>
      <c r="F104">
        <v>9025.2000000000007</v>
      </c>
    </row>
    <row r="105" spans="1:6" x14ac:dyDescent="0.3">
      <c r="A105" t="s">
        <v>86</v>
      </c>
      <c r="B105">
        <v>2023</v>
      </c>
      <c r="C105" t="s">
        <v>91</v>
      </c>
      <c r="D105" t="s">
        <v>88</v>
      </c>
      <c r="E105" t="s">
        <v>6</v>
      </c>
      <c r="F105">
        <v>11250</v>
      </c>
    </row>
    <row r="106" spans="1:6" x14ac:dyDescent="0.3">
      <c r="A106" t="s">
        <v>86</v>
      </c>
      <c r="B106">
        <v>2023</v>
      </c>
      <c r="C106" t="s">
        <v>87</v>
      </c>
      <c r="D106" t="s">
        <v>88</v>
      </c>
      <c r="E106" t="s">
        <v>6</v>
      </c>
      <c r="F106">
        <v>8775</v>
      </c>
    </row>
    <row r="107" spans="1:6" x14ac:dyDescent="0.3">
      <c r="A107" t="s">
        <v>86</v>
      </c>
      <c r="B107">
        <v>2024</v>
      </c>
      <c r="C107" t="s">
        <v>89</v>
      </c>
      <c r="D107" t="s">
        <v>88</v>
      </c>
      <c r="E107" t="s">
        <v>6</v>
      </c>
      <c r="F107">
        <v>12150</v>
      </c>
    </row>
    <row r="108" spans="1:6" x14ac:dyDescent="0.3">
      <c r="A108" t="s">
        <v>86</v>
      </c>
      <c r="B108">
        <v>2024</v>
      </c>
      <c r="C108" t="s">
        <v>90</v>
      </c>
      <c r="D108" t="s">
        <v>88</v>
      </c>
      <c r="E108" t="s">
        <v>6</v>
      </c>
      <c r="F108">
        <v>7050</v>
      </c>
    </row>
    <row r="109" spans="1:6" x14ac:dyDescent="0.3">
      <c r="A109" t="s">
        <v>86</v>
      </c>
      <c r="B109">
        <v>2024</v>
      </c>
      <c r="C109" t="s">
        <v>91</v>
      </c>
      <c r="D109" t="s">
        <v>88</v>
      </c>
      <c r="E109" t="s">
        <v>6</v>
      </c>
      <c r="F109">
        <v>13100</v>
      </c>
    </row>
    <row r="110" spans="1:6" x14ac:dyDescent="0.3">
      <c r="A110" t="s">
        <v>86</v>
      </c>
      <c r="B110">
        <v>2024</v>
      </c>
      <c r="C110" t="s">
        <v>87</v>
      </c>
      <c r="D110" t="s">
        <v>88</v>
      </c>
      <c r="E110" t="s">
        <v>6</v>
      </c>
      <c r="F110">
        <v>9080</v>
      </c>
    </row>
    <row r="111" spans="1:6" x14ac:dyDescent="0.3">
      <c r="A111" t="s">
        <v>86</v>
      </c>
      <c r="B111">
        <v>2025</v>
      </c>
      <c r="C111" t="s">
        <v>89</v>
      </c>
      <c r="D111" t="s">
        <v>88</v>
      </c>
      <c r="E111" t="s">
        <v>6</v>
      </c>
      <c r="F111">
        <v>9080</v>
      </c>
    </row>
    <row r="112" spans="1:6" x14ac:dyDescent="0.3">
      <c r="A112" t="s">
        <v>86</v>
      </c>
      <c r="B112">
        <v>2025</v>
      </c>
      <c r="C112" t="s">
        <v>90</v>
      </c>
      <c r="D112" t="s">
        <v>88</v>
      </c>
      <c r="E112" t="s">
        <v>6</v>
      </c>
      <c r="F112">
        <v>6810</v>
      </c>
    </row>
    <row r="113" spans="1:6" x14ac:dyDescent="0.3">
      <c r="A113" t="s">
        <v>86</v>
      </c>
      <c r="B113">
        <v>2025</v>
      </c>
      <c r="C113" t="s">
        <v>91</v>
      </c>
      <c r="D113" t="s">
        <v>88</v>
      </c>
      <c r="E113" t="s">
        <v>6</v>
      </c>
      <c r="F113">
        <v>3632</v>
      </c>
    </row>
    <row r="114" spans="1:6" x14ac:dyDescent="0.3">
      <c r="A114" t="s">
        <v>86</v>
      </c>
      <c r="B114">
        <v>2025</v>
      </c>
      <c r="C114" t="s">
        <v>87</v>
      </c>
      <c r="D114" t="s">
        <v>88</v>
      </c>
      <c r="E114" t="s">
        <v>6</v>
      </c>
      <c r="F114">
        <v>3632</v>
      </c>
    </row>
    <row r="115" spans="1:6" hidden="1" x14ac:dyDescent="0.3">
      <c r="A115" t="s">
        <v>86</v>
      </c>
      <c r="B115">
        <v>2026</v>
      </c>
      <c r="C115" t="s">
        <v>89</v>
      </c>
      <c r="D115" t="s">
        <v>88</v>
      </c>
      <c r="E115" t="s">
        <v>6</v>
      </c>
      <c r="F115">
        <v>0</v>
      </c>
    </row>
    <row r="116" spans="1:6" hidden="1" x14ac:dyDescent="0.3">
      <c r="A116" t="s">
        <v>86</v>
      </c>
      <c r="B116">
        <v>2026</v>
      </c>
      <c r="C116" t="s">
        <v>90</v>
      </c>
      <c r="D116" t="s">
        <v>88</v>
      </c>
      <c r="E116" t="s">
        <v>6</v>
      </c>
      <c r="F116">
        <v>0</v>
      </c>
    </row>
    <row r="117" spans="1:6" hidden="1" x14ac:dyDescent="0.3">
      <c r="A117" t="s">
        <v>86</v>
      </c>
      <c r="B117">
        <v>2026</v>
      </c>
      <c r="C117" t="s">
        <v>91</v>
      </c>
      <c r="D117" t="s">
        <v>88</v>
      </c>
      <c r="E117" t="s">
        <v>6</v>
      </c>
      <c r="F117">
        <v>0</v>
      </c>
    </row>
    <row r="118" spans="1:6" hidden="1" x14ac:dyDescent="0.3">
      <c r="A118" t="s">
        <v>86</v>
      </c>
      <c r="B118">
        <v>2026</v>
      </c>
      <c r="C118" t="s">
        <v>87</v>
      </c>
      <c r="D118" t="s">
        <v>88</v>
      </c>
      <c r="E118" t="s">
        <v>6</v>
      </c>
      <c r="F118">
        <v>0</v>
      </c>
    </row>
    <row r="119" spans="1:6" hidden="1" x14ac:dyDescent="0.3">
      <c r="A119" t="s">
        <v>86</v>
      </c>
      <c r="B119">
        <v>2027</v>
      </c>
      <c r="C119" t="s">
        <v>89</v>
      </c>
      <c r="D119" t="s">
        <v>88</v>
      </c>
      <c r="E119" t="s">
        <v>6</v>
      </c>
      <c r="F119">
        <v>0</v>
      </c>
    </row>
    <row r="120" spans="1:6" hidden="1" x14ac:dyDescent="0.3">
      <c r="A120" t="s">
        <v>86</v>
      </c>
      <c r="B120">
        <v>2027</v>
      </c>
      <c r="C120" t="s">
        <v>90</v>
      </c>
      <c r="D120" t="s">
        <v>88</v>
      </c>
      <c r="E120" t="s">
        <v>6</v>
      </c>
      <c r="F120">
        <v>0</v>
      </c>
    </row>
    <row r="121" spans="1:6" hidden="1" x14ac:dyDescent="0.3">
      <c r="A121" t="s">
        <v>86</v>
      </c>
      <c r="B121">
        <v>2027</v>
      </c>
      <c r="C121" t="s">
        <v>91</v>
      </c>
      <c r="D121" t="s">
        <v>88</v>
      </c>
      <c r="E121" t="s">
        <v>6</v>
      </c>
      <c r="F121">
        <v>0</v>
      </c>
    </row>
    <row r="122" spans="1:6" hidden="1" x14ac:dyDescent="0.3">
      <c r="A122" t="s">
        <v>86</v>
      </c>
      <c r="B122">
        <v>2027</v>
      </c>
      <c r="C122" t="s">
        <v>87</v>
      </c>
      <c r="D122" t="s">
        <v>88</v>
      </c>
      <c r="E122" t="s">
        <v>6</v>
      </c>
      <c r="F122">
        <v>0</v>
      </c>
    </row>
    <row r="123" spans="1:6" hidden="1" x14ac:dyDescent="0.3">
      <c r="A123" t="s">
        <v>86</v>
      </c>
      <c r="B123">
        <v>2028</v>
      </c>
      <c r="C123" t="s">
        <v>89</v>
      </c>
      <c r="D123" t="s">
        <v>88</v>
      </c>
      <c r="E123" t="s">
        <v>6</v>
      </c>
      <c r="F123">
        <v>0</v>
      </c>
    </row>
    <row r="124" spans="1:6" hidden="1" x14ac:dyDescent="0.3">
      <c r="A124" t="s">
        <v>86</v>
      </c>
      <c r="B124">
        <v>2028</v>
      </c>
      <c r="C124" t="s">
        <v>90</v>
      </c>
      <c r="D124" t="s">
        <v>88</v>
      </c>
      <c r="E124" t="s">
        <v>6</v>
      </c>
      <c r="F124">
        <v>0</v>
      </c>
    </row>
    <row r="125" spans="1:6" hidden="1" x14ac:dyDescent="0.3">
      <c r="A125" t="s">
        <v>86</v>
      </c>
      <c r="B125">
        <v>2028</v>
      </c>
      <c r="C125" t="s">
        <v>91</v>
      </c>
      <c r="D125" t="s">
        <v>88</v>
      </c>
      <c r="E125" t="s">
        <v>6</v>
      </c>
      <c r="F125">
        <v>0</v>
      </c>
    </row>
    <row r="126" spans="1:6" hidden="1" x14ac:dyDescent="0.3">
      <c r="A126" t="s">
        <v>86</v>
      </c>
      <c r="B126">
        <v>2028</v>
      </c>
      <c r="C126" t="s">
        <v>87</v>
      </c>
      <c r="D126" t="s">
        <v>88</v>
      </c>
      <c r="E126" t="s">
        <v>6</v>
      </c>
      <c r="F126">
        <v>0</v>
      </c>
    </row>
    <row r="127" spans="1:6" hidden="1" x14ac:dyDescent="0.3">
      <c r="A127" t="s">
        <v>86</v>
      </c>
      <c r="B127">
        <v>2022</v>
      </c>
      <c r="C127" t="s">
        <v>87</v>
      </c>
      <c r="D127" t="s">
        <v>88</v>
      </c>
      <c r="E127" t="s">
        <v>7</v>
      </c>
      <c r="F127">
        <v>3250</v>
      </c>
    </row>
    <row r="128" spans="1:6" x14ac:dyDescent="0.3">
      <c r="A128" t="s">
        <v>86</v>
      </c>
      <c r="B128">
        <v>2023</v>
      </c>
      <c r="C128" t="s">
        <v>89</v>
      </c>
      <c r="D128" t="s">
        <v>88</v>
      </c>
      <c r="E128" t="s">
        <v>7</v>
      </c>
      <c r="F128">
        <v>4750</v>
      </c>
    </row>
    <row r="129" spans="1:6" x14ac:dyDescent="0.3">
      <c r="A129" t="s">
        <v>86</v>
      </c>
      <c r="B129">
        <v>2023</v>
      </c>
      <c r="C129" t="s">
        <v>90</v>
      </c>
      <c r="D129" t="s">
        <v>88</v>
      </c>
      <c r="E129" t="s">
        <v>7</v>
      </c>
      <c r="F129">
        <v>6750</v>
      </c>
    </row>
    <row r="130" spans="1:6" x14ac:dyDescent="0.3">
      <c r="A130" t="s">
        <v>86</v>
      </c>
      <c r="B130">
        <v>2023</v>
      </c>
      <c r="C130" t="s">
        <v>91</v>
      </c>
      <c r="D130" t="s">
        <v>88</v>
      </c>
      <c r="E130" t="s">
        <v>7</v>
      </c>
      <c r="F130">
        <v>6750</v>
      </c>
    </row>
    <row r="131" spans="1:6" x14ac:dyDescent="0.3">
      <c r="A131" t="s">
        <v>86</v>
      </c>
      <c r="B131">
        <v>2023</v>
      </c>
      <c r="C131" t="s">
        <v>87</v>
      </c>
      <c r="D131" t="s">
        <v>88</v>
      </c>
      <c r="E131" t="s">
        <v>7</v>
      </c>
      <c r="F131">
        <v>5320</v>
      </c>
    </row>
    <row r="132" spans="1:6" x14ac:dyDescent="0.3">
      <c r="A132" t="s">
        <v>86</v>
      </c>
      <c r="B132">
        <v>2024</v>
      </c>
      <c r="C132" t="s">
        <v>89</v>
      </c>
      <c r="D132" t="s">
        <v>88</v>
      </c>
      <c r="E132" t="s">
        <v>7</v>
      </c>
      <c r="F132">
        <v>5400</v>
      </c>
    </row>
    <row r="133" spans="1:6" x14ac:dyDescent="0.3">
      <c r="A133" t="s">
        <v>86</v>
      </c>
      <c r="B133">
        <v>2024</v>
      </c>
      <c r="C133" t="s">
        <v>90</v>
      </c>
      <c r="D133" t="s">
        <v>88</v>
      </c>
      <c r="E133" t="s">
        <v>7</v>
      </c>
      <c r="F133">
        <v>6750</v>
      </c>
    </row>
    <row r="134" spans="1:6" x14ac:dyDescent="0.3">
      <c r="A134" t="s">
        <v>86</v>
      </c>
      <c r="B134">
        <v>2024</v>
      </c>
      <c r="C134" t="s">
        <v>91</v>
      </c>
      <c r="D134" t="s">
        <v>88</v>
      </c>
      <c r="E134" t="s">
        <v>7</v>
      </c>
      <c r="F134">
        <v>4050</v>
      </c>
    </row>
    <row r="135" spans="1:6" x14ac:dyDescent="0.3">
      <c r="A135" t="s">
        <v>86</v>
      </c>
      <c r="B135">
        <v>2024</v>
      </c>
      <c r="C135" t="s">
        <v>87</v>
      </c>
      <c r="D135" t="s">
        <v>88</v>
      </c>
      <c r="E135" t="s">
        <v>7</v>
      </c>
      <c r="F135">
        <v>3810</v>
      </c>
    </row>
    <row r="136" spans="1:6" x14ac:dyDescent="0.3">
      <c r="A136" t="s">
        <v>86</v>
      </c>
      <c r="B136">
        <v>2025</v>
      </c>
      <c r="C136" t="s">
        <v>89</v>
      </c>
      <c r="D136" t="s">
        <v>88</v>
      </c>
      <c r="E136" t="s">
        <v>7</v>
      </c>
      <c r="F136">
        <v>5334</v>
      </c>
    </row>
    <row r="137" spans="1:6" x14ac:dyDescent="0.3">
      <c r="A137" t="s">
        <v>86</v>
      </c>
      <c r="B137">
        <v>2025</v>
      </c>
      <c r="C137" t="s">
        <v>90</v>
      </c>
      <c r="D137" t="s">
        <v>88</v>
      </c>
      <c r="E137" t="s">
        <v>7</v>
      </c>
      <c r="F137">
        <v>2032</v>
      </c>
    </row>
    <row r="138" spans="1:6" x14ac:dyDescent="0.3">
      <c r="A138" t="s">
        <v>86</v>
      </c>
      <c r="B138">
        <v>2025</v>
      </c>
      <c r="C138" t="s">
        <v>91</v>
      </c>
      <c r="D138" t="s">
        <v>88</v>
      </c>
      <c r="E138" t="s">
        <v>7</v>
      </c>
      <c r="F138">
        <v>4125</v>
      </c>
    </row>
    <row r="139" spans="1:6" x14ac:dyDescent="0.3">
      <c r="A139" t="s">
        <v>86</v>
      </c>
      <c r="B139">
        <v>2025</v>
      </c>
      <c r="C139" t="s">
        <v>87</v>
      </c>
      <c r="D139" t="s">
        <v>88</v>
      </c>
      <c r="E139" t="s">
        <v>7</v>
      </c>
      <c r="F139">
        <v>4350</v>
      </c>
    </row>
    <row r="140" spans="1:6" hidden="1" x14ac:dyDescent="0.3">
      <c r="A140" t="s">
        <v>86</v>
      </c>
      <c r="B140">
        <v>2026</v>
      </c>
      <c r="C140" t="s">
        <v>89</v>
      </c>
      <c r="D140" t="s">
        <v>88</v>
      </c>
      <c r="E140" t="s">
        <v>7</v>
      </c>
      <c r="F140">
        <v>0</v>
      </c>
    </row>
    <row r="141" spans="1:6" hidden="1" x14ac:dyDescent="0.3">
      <c r="A141" t="s">
        <v>86</v>
      </c>
      <c r="B141">
        <v>2026</v>
      </c>
      <c r="C141" t="s">
        <v>90</v>
      </c>
      <c r="D141" t="s">
        <v>88</v>
      </c>
      <c r="E141" t="s">
        <v>7</v>
      </c>
      <c r="F141">
        <v>0</v>
      </c>
    </row>
    <row r="142" spans="1:6" hidden="1" x14ac:dyDescent="0.3">
      <c r="A142" t="s">
        <v>86</v>
      </c>
      <c r="B142">
        <v>2026</v>
      </c>
      <c r="C142" t="s">
        <v>91</v>
      </c>
      <c r="D142" t="s">
        <v>88</v>
      </c>
      <c r="E142" t="s">
        <v>7</v>
      </c>
      <c r="F142">
        <v>0</v>
      </c>
    </row>
    <row r="143" spans="1:6" hidden="1" x14ac:dyDescent="0.3">
      <c r="A143" t="s">
        <v>86</v>
      </c>
      <c r="B143">
        <v>2026</v>
      </c>
      <c r="C143" t="s">
        <v>87</v>
      </c>
      <c r="D143" t="s">
        <v>88</v>
      </c>
      <c r="E143" t="s">
        <v>7</v>
      </c>
      <c r="F143">
        <v>0</v>
      </c>
    </row>
    <row r="144" spans="1:6" hidden="1" x14ac:dyDescent="0.3">
      <c r="A144" t="s">
        <v>86</v>
      </c>
      <c r="B144">
        <v>2027</v>
      </c>
      <c r="C144" t="s">
        <v>89</v>
      </c>
      <c r="D144" t="s">
        <v>88</v>
      </c>
      <c r="E144" t="s">
        <v>7</v>
      </c>
      <c r="F144">
        <v>0</v>
      </c>
    </row>
    <row r="145" spans="1:6" hidden="1" x14ac:dyDescent="0.3">
      <c r="A145" t="s">
        <v>86</v>
      </c>
      <c r="B145">
        <v>2027</v>
      </c>
      <c r="C145" t="s">
        <v>90</v>
      </c>
      <c r="D145" t="s">
        <v>88</v>
      </c>
      <c r="E145" t="s">
        <v>7</v>
      </c>
      <c r="F145">
        <v>0</v>
      </c>
    </row>
    <row r="146" spans="1:6" hidden="1" x14ac:dyDescent="0.3">
      <c r="A146" t="s">
        <v>86</v>
      </c>
      <c r="B146">
        <v>2027</v>
      </c>
      <c r="C146" t="s">
        <v>91</v>
      </c>
      <c r="D146" t="s">
        <v>88</v>
      </c>
      <c r="E146" t="s">
        <v>7</v>
      </c>
      <c r="F146">
        <v>0</v>
      </c>
    </row>
    <row r="147" spans="1:6" hidden="1" x14ac:dyDescent="0.3">
      <c r="A147" t="s">
        <v>86</v>
      </c>
      <c r="B147">
        <v>2027</v>
      </c>
      <c r="C147" t="s">
        <v>87</v>
      </c>
      <c r="D147" t="s">
        <v>88</v>
      </c>
      <c r="E147" t="s">
        <v>7</v>
      </c>
      <c r="F147">
        <v>0</v>
      </c>
    </row>
    <row r="148" spans="1:6" hidden="1" x14ac:dyDescent="0.3">
      <c r="A148" t="s">
        <v>86</v>
      </c>
      <c r="B148">
        <v>2028</v>
      </c>
      <c r="C148" t="s">
        <v>89</v>
      </c>
      <c r="D148" t="s">
        <v>88</v>
      </c>
      <c r="E148" t="s">
        <v>7</v>
      </c>
      <c r="F148">
        <v>0</v>
      </c>
    </row>
    <row r="149" spans="1:6" hidden="1" x14ac:dyDescent="0.3">
      <c r="A149" t="s">
        <v>86</v>
      </c>
      <c r="B149">
        <v>2028</v>
      </c>
      <c r="C149" t="s">
        <v>90</v>
      </c>
      <c r="D149" t="s">
        <v>88</v>
      </c>
      <c r="E149" t="s">
        <v>7</v>
      </c>
      <c r="F149">
        <v>0</v>
      </c>
    </row>
    <row r="150" spans="1:6" hidden="1" x14ac:dyDescent="0.3">
      <c r="A150" t="s">
        <v>86</v>
      </c>
      <c r="B150">
        <v>2028</v>
      </c>
      <c r="C150" t="s">
        <v>91</v>
      </c>
      <c r="D150" t="s">
        <v>88</v>
      </c>
      <c r="E150" t="s">
        <v>7</v>
      </c>
      <c r="F150">
        <v>0</v>
      </c>
    </row>
    <row r="151" spans="1:6" hidden="1" x14ac:dyDescent="0.3">
      <c r="A151" t="s">
        <v>86</v>
      </c>
      <c r="B151">
        <v>2028</v>
      </c>
      <c r="C151" t="s">
        <v>87</v>
      </c>
      <c r="D151" t="s">
        <v>88</v>
      </c>
      <c r="E151" t="s">
        <v>7</v>
      </c>
      <c r="F151">
        <v>0</v>
      </c>
    </row>
    <row r="152" spans="1:6" hidden="1" x14ac:dyDescent="0.3">
      <c r="A152" t="s">
        <v>86</v>
      </c>
      <c r="B152">
        <v>2022</v>
      </c>
      <c r="C152" t="s">
        <v>87</v>
      </c>
      <c r="D152" t="s">
        <v>88</v>
      </c>
      <c r="E152" t="s">
        <v>8</v>
      </c>
      <c r="F152">
        <v>0</v>
      </c>
    </row>
    <row r="153" spans="1:6" x14ac:dyDescent="0.3">
      <c r="A153" t="s">
        <v>86</v>
      </c>
      <c r="B153">
        <v>2023</v>
      </c>
      <c r="C153" t="s">
        <v>89</v>
      </c>
      <c r="D153" t="s">
        <v>88</v>
      </c>
      <c r="E153" t="s">
        <v>8</v>
      </c>
      <c r="F153">
        <v>0</v>
      </c>
    </row>
    <row r="154" spans="1:6" x14ac:dyDescent="0.3">
      <c r="A154" t="s">
        <v>86</v>
      </c>
      <c r="B154">
        <v>2023</v>
      </c>
      <c r="C154" t="s">
        <v>90</v>
      </c>
      <c r="D154" t="s">
        <v>88</v>
      </c>
      <c r="E154" t="s">
        <v>8</v>
      </c>
      <c r="F154">
        <v>1890</v>
      </c>
    </row>
    <row r="155" spans="1:6" x14ac:dyDescent="0.3">
      <c r="A155" t="s">
        <v>86</v>
      </c>
      <c r="B155">
        <v>2023</v>
      </c>
      <c r="C155" t="s">
        <v>91</v>
      </c>
      <c r="D155" t="s">
        <v>88</v>
      </c>
      <c r="E155" t="s">
        <v>8</v>
      </c>
      <c r="F155">
        <v>2700</v>
      </c>
    </row>
    <row r="156" spans="1:6" x14ac:dyDescent="0.3">
      <c r="A156" t="s">
        <v>86</v>
      </c>
      <c r="B156">
        <v>2023</v>
      </c>
      <c r="C156" t="s">
        <v>87</v>
      </c>
      <c r="D156" t="s">
        <v>88</v>
      </c>
      <c r="E156" t="s">
        <v>8</v>
      </c>
      <c r="F156">
        <v>1320</v>
      </c>
    </row>
    <row r="157" spans="1:6" x14ac:dyDescent="0.3">
      <c r="A157" t="s">
        <v>86</v>
      </c>
      <c r="B157">
        <v>2024</v>
      </c>
      <c r="C157" t="s">
        <v>89</v>
      </c>
      <c r="D157" t="s">
        <v>88</v>
      </c>
      <c r="E157" t="s">
        <v>8</v>
      </c>
      <c r="F157">
        <v>3960</v>
      </c>
    </row>
    <row r="158" spans="1:6" x14ac:dyDescent="0.3">
      <c r="A158" t="s">
        <v>86</v>
      </c>
      <c r="B158">
        <v>2024</v>
      </c>
      <c r="C158" t="s">
        <v>90</v>
      </c>
      <c r="D158" t="s">
        <v>88</v>
      </c>
      <c r="E158" t="s">
        <v>8</v>
      </c>
      <c r="F158">
        <v>4280</v>
      </c>
    </row>
    <row r="159" spans="1:6" x14ac:dyDescent="0.3">
      <c r="A159" t="s">
        <v>86</v>
      </c>
      <c r="B159">
        <v>2024</v>
      </c>
      <c r="C159" t="s">
        <v>91</v>
      </c>
      <c r="D159" t="s">
        <v>88</v>
      </c>
      <c r="E159" t="s">
        <v>8</v>
      </c>
      <c r="F159">
        <v>6250</v>
      </c>
    </row>
    <row r="160" spans="1:6" x14ac:dyDescent="0.3">
      <c r="A160" t="s">
        <v>86</v>
      </c>
      <c r="B160">
        <v>2024</v>
      </c>
      <c r="C160" t="s">
        <v>87</v>
      </c>
      <c r="D160" t="s">
        <v>88</v>
      </c>
      <c r="E160" t="s">
        <v>8</v>
      </c>
      <c r="F160">
        <v>2850</v>
      </c>
    </row>
    <row r="161" spans="1:6" x14ac:dyDescent="0.3">
      <c r="A161" t="s">
        <v>86</v>
      </c>
      <c r="B161">
        <v>2025</v>
      </c>
      <c r="C161" t="s">
        <v>89</v>
      </c>
      <c r="D161" t="s">
        <v>88</v>
      </c>
      <c r="E161" t="s">
        <v>8</v>
      </c>
      <c r="F161">
        <v>7410</v>
      </c>
    </row>
    <row r="162" spans="1:6" x14ac:dyDescent="0.3">
      <c r="A162" t="s">
        <v>86</v>
      </c>
      <c r="B162">
        <v>2025</v>
      </c>
      <c r="C162" t="s">
        <v>90</v>
      </c>
      <c r="D162" t="s">
        <v>88</v>
      </c>
      <c r="E162" t="s">
        <v>8</v>
      </c>
      <c r="F162">
        <v>9690</v>
      </c>
    </row>
    <row r="163" spans="1:6" x14ac:dyDescent="0.3">
      <c r="A163" t="s">
        <v>86</v>
      </c>
      <c r="B163">
        <v>2025</v>
      </c>
      <c r="C163" t="s">
        <v>91</v>
      </c>
      <c r="D163" t="s">
        <v>88</v>
      </c>
      <c r="E163" t="s">
        <v>8</v>
      </c>
      <c r="F163">
        <v>9344</v>
      </c>
    </row>
    <row r="164" spans="1:6" x14ac:dyDescent="0.3">
      <c r="A164" t="s">
        <v>86</v>
      </c>
      <c r="B164">
        <v>2025</v>
      </c>
      <c r="C164" t="s">
        <v>87</v>
      </c>
      <c r="D164" t="s">
        <v>88</v>
      </c>
      <c r="E164" t="s">
        <v>8</v>
      </c>
      <c r="F164">
        <v>9125</v>
      </c>
    </row>
    <row r="165" spans="1:6" hidden="1" x14ac:dyDescent="0.3">
      <c r="A165" t="s">
        <v>86</v>
      </c>
      <c r="B165">
        <v>2026</v>
      </c>
      <c r="C165" t="s">
        <v>89</v>
      </c>
      <c r="D165" t="s">
        <v>88</v>
      </c>
      <c r="E165" t="s">
        <v>8</v>
      </c>
      <c r="F165">
        <v>0</v>
      </c>
    </row>
    <row r="166" spans="1:6" hidden="1" x14ac:dyDescent="0.3">
      <c r="A166" t="s">
        <v>86</v>
      </c>
      <c r="B166">
        <v>2026</v>
      </c>
      <c r="C166" t="s">
        <v>90</v>
      </c>
      <c r="D166" t="s">
        <v>88</v>
      </c>
      <c r="E166" t="s">
        <v>8</v>
      </c>
      <c r="F166">
        <v>0</v>
      </c>
    </row>
    <row r="167" spans="1:6" hidden="1" x14ac:dyDescent="0.3">
      <c r="A167" t="s">
        <v>86</v>
      </c>
      <c r="B167">
        <v>2026</v>
      </c>
      <c r="C167" t="s">
        <v>91</v>
      </c>
      <c r="D167" t="s">
        <v>88</v>
      </c>
      <c r="E167" t="s">
        <v>8</v>
      </c>
      <c r="F167">
        <v>0</v>
      </c>
    </row>
    <row r="168" spans="1:6" hidden="1" x14ac:dyDescent="0.3">
      <c r="A168" t="s">
        <v>86</v>
      </c>
      <c r="B168">
        <v>2026</v>
      </c>
      <c r="C168" t="s">
        <v>87</v>
      </c>
      <c r="D168" t="s">
        <v>88</v>
      </c>
      <c r="E168" t="s">
        <v>8</v>
      </c>
      <c r="F168">
        <v>0</v>
      </c>
    </row>
    <row r="169" spans="1:6" hidden="1" x14ac:dyDescent="0.3">
      <c r="A169" t="s">
        <v>86</v>
      </c>
      <c r="B169">
        <v>2027</v>
      </c>
      <c r="C169" t="s">
        <v>89</v>
      </c>
      <c r="D169" t="s">
        <v>88</v>
      </c>
      <c r="E169" t="s">
        <v>8</v>
      </c>
      <c r="F169">
        <v>0</v>
      </c>
    </row>
    <row r="170" spans="1:6" hidden="1" x14ac:dyDescent="0.3">
      <c r="A170" t="s">
        <v>86</v>
      </c>
      <c r="B170">
        <v>2027</v>
      </c>
      <c r="C170" t="s">
        <v>90</v>
      </c>
      <c r="D170" t="s">
        <v>88</v>
      </c>
      <c r="E170" t="s">
        <v>8</v>
      </c>
      <c r="F170">
        <v>0</v>
      </c>
    </row>
    <row r="171" spans="1:6" hidden="1" x14ac:dyDescent="0.3">
      <c r="A171" t="s">
        <v>86</v>
      </c>
      <c r="B171">
        <v>2027</v>
      </c>
      <c r="C171" t="s">
        <v>91</v>
      </c>
      <c r="D171" t="s">
        <v>88</v>
      </c>
      <c r="E171" t="s">
        <v>8</v>
      </c>
      <c r="F171">
        <v>0</v>
      </c>
    </row>
    <row r="172" spans="1:6" hidden="1" x14ac:dyDescent="0.3">
      <c r="A172" t="s">
        <v>86</v>
      </c>
      <c r="B172">
        <v>2027</v>
      </c>
      <c r="C172" t="s">
        <v>87</v>
      </c>
      <c r="D172" t="s">
        <v>88</v>
      </c>
      <c r="E172" t="s">
        <v>8</v>
      </c>
      <c r="F172">
        <v>0</v>
      </c>
    </row>
    <row r="173" spans="1:6" hidden="1" x14ac:dyDescent="0.3">
      <c r="A173" t="s">
        <v>86</v>
      </c>
      <c r="B173">
        <v>2028</v>
      </c>
      <c r="C173" t="s">
        <v>89</v>
      </c>
      <c r="D173" t="s">
        <v>88</v>
      </c>
      <c r="E173" t="s">
        <v>8</v>
      </c>
      <c r="F173">
        <v>0</v>
      </c>
    </row>
    <row r="174" spans="1:6" hidden="1" x14ac:dyDescent="0.3">
      <c r="A174" t="s">
        <v>86</v>
      </c>
      <c r="B174">
        <v>2028</v>
      </c>
      <c r="C174" t="s">
        <v>90</v>
      </c>
      <c r="D174" t="s">
        <v>88</v>
      </c>
      <c r="E174" t="s">
        <v>8</v>
      </c>
      <c r="F174">
        <v>0</v>
      </c>
    </row>
    <row r="175" spans="1:6" hidden="1" x14ac:dyDescent="0.3">
      <c r="A175" t="s">
        <v>86</v>
      </c>
      <c r="B175">
        <v>2028</v>
      </c>
      <c r="C175" t="s">
        <v>91</v>
      </c>
      <c r="D175" t="s">
        <v>88</v>
      </c>
      <c r="E175" t="s">
        <v>8</v>
      </c>
      <c r="F175">
        <v>0</v>
      </c>
    </row>
    <row r="176" spans="1:6" hidden="1" x14ac:dyDescent="0.3">
      <c r="A176" t="s">
        <v>86</v>
      </c>
      <c r="B176">
        <v>2028</v>
      </c>
      <c r="C176" t="s">
        <v>87</v>
      </c>
      <c r="D176" t="s">
        <v>88</v>
      </c>
      <c r="E176" t="s">
        <v>8</v>
      </c>
      <c r="F176">
        <v>0</v>
      </c>
    </row>
    <row r="177" spans="1:6" hidden="1" x14ac:dyDescent="0.3">
      <c r="A177" t="s">
        <v>86</v>
      </c>
      <c r="B177">
        <v>2022</v>
      </c>
      <c r="C177" t="s">
        <v>87</v>
      </c>
      <c r="D177" t="s">
        <v>88</v>
      </c>
      <c r="E177" t="s">
        <v>9</v>
      </c>
      <c r="F177">
        <v>588</v>
      </c>
    </row>
    <row r="178" spans="1:6" x14ac:dyDescent="0.3">
      <c r="A178" t="s">
        <v>86</v>
      </c>
      <c r="B178">
        <v>2023</v>
      </c>
      <c r="C178" t="s">
        <v>89</v>
      </c>
      <c r="D178" t="s">
        <v>88</v>
      </c>
      <c r="E178" t="s">
        <v>9</v>
      </c>
      <c r="F178">
        <v>0</v>
      </c>
    </row>
    <row r="179" spans="1:6" x14ac:dyDescent="0.3">
      <c r="A179" t="s">
        <v>86</v>
      </c>
      <c r="B179">
        <v>2023</v>
      </c>
      <c r="C179" t="s">
        <v>90</v>
      </c>
      <c r="D179" t="s">
        <v>88</v>
      </c>
      <c r="E179" t="s">
        <v>9</v>
      </c>
      <c r="F179">
        <v>484</v>
      </c>
    </row>
    <row r="180" spans="1:6" x14ac:dyDescent="0.3">
      <c r="A180" t="s">
        <v>86</v>
      </c>
      <c r="B180">
        <v>2023</v>
      </c>
      <c r="C180" t="s">
        <v>91</v>
      </c>
      <c r="D180" t="s">
        <v>88</v>
      </c>
      <c r="E180" t="s">
        <v>9</v>
      </c>
      <c r="F180">
        <v>0</v>
      </c>
    </row>
    <row r="181" spans="1:6" x14ac:dyDescent="0.3">
      <c r="A181" t="s">
        <v>86</v>
      </c>
      <c r="B181">
        <v>2023</v>
      </c>
      <c r="C181" t="s">
        <v>87</v>
      </c>
      <c r="D181" t="s">
        <v>88</v>
      </c>
      <c r="E181" t="s">
        <v>9</v>
      </c>
      <c r="F181">
        <v>0</v>
      </c>
    </row>
    <row r="182" spans="1:6" x14ac:dyDescent="0.3">
      <c r="A182" t="s">
        <v>86</v>
      </c>
      <c r="B182">
        <v>2024</v>
      </c>
      <c r="C182" t="s">
        <v>89</v>
      </c>
      <c r="D182" t="s">
        <v>88</v>
      </c>
      <c r="E182" t="s">
        <v>9</v>
      </c>
      <c r="F182">
        <v>0</v>
      </c>
    </row>
    <row r="183" spans="1:6" x14ac:dyDescent="0.3">
      <c r="A183" t="s">
        <v>86</v>
      </c>
      <c r="B183">
        <v>2024</v>
      </c>
      <c r="C183" t="s">
        <v>90</v>
      </c>
      <c r="D183" t="s">
        <v>88</v>
      </c>
      <c r="E183" t="s">
        <v>9</v>
      </c>
      <c r="F183">
        <v>0</v>
      </c>
    </row>
    <row r="184" spans="1:6" x14ac:dyDescent="0.3">
      <c r="A184" t="s">
        <v>86</v>
      </c>
      <c r="B184">
        <v>2024</v>
      </c>
      <c r="C184" t="s">
        <v>91</v>
      </c>
      <c r="D184" t="s">
        <v>88</v>
      </c>
      <c r="E184" t="s">
        <v>9</v>
      </c>
      <c r="F184">
        <v>0</v>
      </c>
    </row>
    <row r="185" spans="1:6" x14ac:dyDescent="0.3">
      <c r="A185" t="s">
        <v>86</v>
      </c>
      <c r="B185">
        <v>2024</v>
      </c>
      <c r="C185" t="s">
        <v>87</v>
      </c>
      <c r="D185" t="s">
        <v>88</v>
      </c>
      <c r="E185" t="s">
        <v>9</v>
      </c>
      <c r="F185">
        <v>0</v>
      </c>
    </row>
    <row r="186" spans="1:6" x14ac:dyDescent="0.3">
      <c r="A186" t="s">
        <v>86</v>
      </c>
      <c r="B186">
        <v>2025</v>
      </c>
      <c r="C186" t="s">
        <v>89</v>
      </c>
      <c r="D186" t="s">
        <v>88</v>
      </c>
      <c r="E186" t="s">
        <v>9</v>
      </c>
      <c r="F186">
        <v>10230</v>
      </c>
    </row>
    <row r="187" spans="1:6" x14ac:dyDescent="0.3">
      <c r="A187" t="s">
        <v>86</v>
      </c>
      <c r="B187">
        <v>2025</v>
      </c>
      <c r="C187" t="s">
        <v>90</v>
      </c>
      <c r="D187" t="s">
        <v>88</v>
      </c>
      <c r="E187" t="s">
        <v>9</v>
      </c>
      <c r="F187">
        <v>20460</v>
      </c>
    </row>
    <row r="188" spans="1:6" x14ac:dyDescent="0.3">
      <c r="A188" t="s">
        <v>86</v>
      </c>
      <c r="B188">
        <v>2025</v>
      </c>
      <c r="C188" t="s">
        <v>91</v>
      </c>
      <c r="D188" t="s">
        <v>88</v>
      </c>
      <c r="E188" t="s">
        <v>9</v>
      </c>
      <c r="F188">
        <v>5400</v>
      </c>
    </row>
    <row r="189" spans="1:6" x14ac:dyDescent="0.3">
      <c r="A189" t="s">
        <v>86</v>
      </c>
      <c r="B189">
        <v>2025</v>
      </c>
      <c r="C189" t="s">
        <v>87</v>
      </c>
      <c r="D189" t="s">
        <v>88</v>
      </c>
      <c r="E189" t="s">
        <v>9</v>
      </c>
      <c r="F189">
        <v>5598</v>
      </c>
    </row>
    <row r="190" spans="1:6" hidden="1" x14ac:dyDescent="0.3">
      <c r="A190" t="s">
        <v>86</v>
      </c>
      <c r="B190">
        <v>2026</v>
      </c>
      <c r="C190" t="s">
        <v>89</v>
      </c>
      <c r="D190" t="s">
        <v>88</v>
      </c>
      <c r="E190" t="s">
        <v>9</v>
      </c>
      <c r="F190">
        <v>0</v>
      </c>
    </row>
    <row r="191" spans="1:6" hidden="1" x14ac:dyDescent="0.3">
      <c r="A191" t="s">
        <v>86</v>
      </c>
      <c r="B191">
        <v>2026</v>
      </c>
      <c r="C191" t="s">
        <v>90</v>
      </c>
      <c r="D191" t="s">
        <v>88</v>
      </c>
      <c r="E191" t="s">
        <v>9</v>
      </c>
      <c r="F191">
        <v>0</v>
      </c>
    </row>
    <row r="192" spans="1:6" hidden="1" x14ac:dyDescent="0.3">
      <c r="A192" t="s">
        <v>86</v>
      </c>
      <c r="B192">
        <v>2026</v>
      </c>
      <c r="C192" t="s">
        <v>91</v>
      </c>
      <c r="D192" t="s">
        <v>88</v>
      </c>
      <c r="E192" t="s">
        <v>9</v>
      </c>
      <c r="F192">
        <v>0</v>
      </c>
    </row>
    <row r="193" spans="1:6" hidden="1" x14ac:dyDescent="0.3">
      <c r="A193" t="s">
        <v>86</v>
      </c>
      <c r="B193">
        <v>2026</v>
      </c>
      <c r="C193" t="s">
        <v>87</v>
      </c>
      <c r="D193" t="s">
        <v>88</v>
      </c>
      <c r="E193" t="s">
        <v>9</v>
      </c>
      <c r="F193">
        <v>0</v>
      </c>
    </row>
    <row r="194" spans="1:6" hidden="1" x14ac:dyDescent="0.3">
      <c r="A194" t="s">
        <v>86</v>
      </c>
      <c r="B194">
        <v>2027</v>
      </c>
      <c r="C194" t="s">
        <v>89</v>
      </c>
      <c r="D194" t="s">
        <v>88</v>
      </c>
      <c r="E194" t="s">
        <v>9</v>
      </c>
      <c r="F194">
        <v>0</v>
      </c>
    </row>
    <row r="195" spans="1:6" hidden="1" x14ac:dyDescent="0.3">
      <c r="A195" t="s">
        <v>86</v>
      </c>
      <c r="B195">
        <v>2027</v>
      </c>
      <c r="C195" t="s">
        <v>90</v>
      </c>
      <c r="D195" t="s">
        <v>88</v>
      </c>
      <c r="E195" t="s">
        <v>9</v>
      </c>
      <c r="F195">
        <v>0</v>
      </c>
    </row>
    <row r="196" spans="1:6" hidden="1" x14ac:dyDescent="0.3">
      <c r="A196" t="s">
        <v>86</v>
      </c>
      <c r="B196">
        <v>2027</v>
      </c>
      <c r="C196" t="s">
        <v>91</v>
      </c>
      <c r="D196" t="s">
        <v>88</v>
      </c>
      <c r="E196" t="s">
        <v>9</v>
      </c>
      <c r="F196">
        <v>0</v>
      </c>
    </row>
    <row r="197" spans="1:6" hidden="1" x14ac:dyDescent="0.3">
      <c r="A197" t="s">
        <v>86</v>
      </c>
      <c r="B197">
        <v>2027</v>
      </c>
      <c r="C197" t="s">
        <v>87</v>
      </c>
      <c r="D197" t="s">
        <v>88</v>
      </c>
      <c r="E197" t="s">
        <v>9</v>
      </c>
      <c r="F197">
        <v>0</v>
      </c>
    </row>
    <row r="198" spans="1:6" hidden="1" x14ac:dyDescent="0.3">
      <c r="A198" t="s">
        <v>86</v>
      </c>
      <c r="B198">
        <v>2028</v>
      </c>
      <c r="C198" t="s">
        <v>89</v>
      </c>
      <c r="D198" t="s">
        <v>88</v>
      </c>
      <c r="E198" t="s">
        <v>9</v>
      </c>
      <c r="F198">
        <v>0</v>
      </c>
    </row>
    <row r="199" spans="1:6" hidden="1" x14ac:dyDescent="0.3">
      <c r="A199" t="s">
        <v>86</v>
      </c>
      <c r="B199">
        <v>2028</v>
      </c>
      <c r="C199" t="s">
        <v>90</v>
      </c>
      <c r="D199" t="s">
        <v>88</v>
      </c>
      <c r="E199" t="s">
        <v>9</v>
      </c>
      <c r="F199">
        <v>0</v>
      </c>
    </row>
    <row r="200" spans="1:6" hidden="1" x14ac:dyDescent="0.3">
      <c r="A200" t="s">
        <v>86</v>
      </c>
      <c r="B200">
        <v>2028</v>
      </c>
      <c r="C200" t="s">
        <v>91</v>
      </c>
      <c r="D200" t="s">
        <v>88</v>
      </c>
      <c r="E200" t="s">
        <v>9</v>
      </c>
      <c r="F200">
        <v>0</v>
      </c>
    </row>
    <row r="201" spans="1:6" hidden="1" x14ac:dyDescent="0.3">
      <c r="A201" t="s">
        <v>86</v>
      </c>
      <c r="B201">
        <v>2028</v>
      </c>
      <c r="C201" t="s">
        <v>87</v>
      </c>
      <c r="D201" t="s">
        <v>88</v>
      </c>
      <c r="E201" t="s">
        <v>9</v>
      </c>
      <c r="F201">
        <v>0</v>
      </c>
    </row>
    <row r="202" spans="1:6" hidden="1" x14ac:dyDescent="0.3">
      <c r="A202" t="s">
        <v>86</v>
      </c>
      <c r="B202">
        <v>2022</v>
      </c>
      <c r="C202" t="s">
        <v>87</v>
      </c>
      <c r="D202" t="s">
        <v>88</v>
      </c>
      <c r="E202" t="s">
        <v>2</v>
      </c>
      <c r="F202">
        <v>650</v>
      </c>
    </row>
    <row r="203" spans="1:6" x14ac:dyDescent="0.3">
      <c r="A203" t="s">
        <v>86</v>
      </c>
      <c r="B203">
        <v>2023</v>
      </c>
      <c r="C203" t="s">
        <v>89</v>
      </c>
      <c r="D203" t="s">
        <v>88</v>
      </c>
      <c r="E203" t="s">
        <v>2</v>
      </c>
      <c r="F203">
        <v>2600</v>
      </c>
    </row>
    <row r="204" spans="1:6" x14ac:dyDescent="0.3">
      <c r="A204" t="s">
        <v>86</v>
      </c>
      <c r="B204">
        <v>2023</v>
      </c>
      <c r="C204" t="s">
        <v>90</v>
      </c>
      <c r="D204" t="s">
        <v>88</v>
      </c>
      <c r="E204" t="s">
        <v>2</v>
      </c>
      <c r="F204">
        <v>2600</v>
      </c>
    </row>
    <row r="205" spans="1:6" x14ac:dyDescent="0.3">
      <c r="A205" t="s">
        <v>86</v>
      </c>
      <c r="B205">
        <v>2023</v>
      </c>
      <c r="C205" t="s">
        <v>91</v>
      </c>
      <c r="D205" t="s">
        <v>88</v>
      </c>
      <c r="E205" t="s">
        <v>2</v>
      </c>
      <c r="F205">
        <v>2600</v>
      </c>
    </row>
    <row r="206" spans="1:6" x14ac:dyDescent="0.3">
      <c r="A206" t="s">
        <v>86</v>
      </c>
      <c r="B206">
        <v>2023</v>
      </c>
      <c r="C206" t="s">
        <v>87</v>
      </c>
      <c r="D206" t="s">
        <v>88</v>
      </c>
      <c r="E206" t="s">
        <v>2</v>
      </c>
      <c r="F206">
        <v>2600</v>
      </c>
    </row>
    <row r="207" spans="1:6" x14ac:dyDescent="0.3">
      <c r="A207" t="s">
        <v>86</v>
      </c>
      <c r="B207">
        <v>2024</v>
      </c>
      <c r="C207" t="s">
        <v>89</v>
      </c>
      <c r="D207" t="s">
        <v>88</v>
      </c>
      <c r="E207" t="s">
        <v>2</v>
      </c>
      <c r="F207">
        <v>2600</v>
      </c>
    </row>
    <row r="208" spans="1:6" x14ac:dyDescent="0.3">
      <c r="A208" t="s">
        <v>86</v>
      </c>
      <c r="B208">
        <v>2024</v>
      </c>
      <c r="C208" t="s">
        <v>90</v>
      </c>
      <c r="D208" t="s">
        <v>88</v>
      </c>
      <c r="E208" t="s">
        <v>2</v>
      </c>
      <c r="F208">
        <v>2600</v>
      </c>
    </row>
    <row r="209" spans="1:6" x14ac:dyDescent="0.3">
      <c r="A209" t="s">
        <v>86</v>
      </c>
      <c r="B209">
        <v>2024</v>
      </c>
      <c r="C209" t="s">
        <v>91</v>
      </c>
      <c r="D209" t="s">
        <v>88</v>
      </c>
      <c r="E209" t="s">
        <v>2</v>
      </c>
      <c r="F209">
        <v>2600</v>
      </c>
    </row>
    <row r="210" spans="1:6" x14ac:dyDescent="0.3">
      <c r="A210" t="s">
        <v>86</v>
      </c>
      <c r="B210">
        <v>2024</v>
      </c>
      <c r="C210" t="s">
        <v>87</v>
      </c>
      <c r="D210" t="s">
        <v>88</v>
      </c>
      <c r="E210" t="s">
        <v>2</v>
      </c>
      <c r="F210">
        <v>2600</v>
      </c>
    </row>
    <row r="211" spans="1:6" x14ac:dyDescent="0.3">
      <c r="A211" t="s">
        <v>86</v>
      </c>
      <c r="B211">
        <v>2025</v>
      </c>
      <c r="C211" t="s">
        <v>89</v>
      </c>
      <c r="D211" t="s">
        <v>88</v>
      </c>
      <c r="E211" t="s">
        <v>2</v>
      </c>
      <c r="F211">
        <v>2600</v>
      </c>
    </row>
    <row r="212" spans="1:6" x14ac:dyDescent="0.3">
      <c r="A212" t="s">
        <v>86</v>
      </c>
      <c r="B212">
        <v>2025</v>
      </c>
      <c r="C212" t="s">
        <v>90</v>
      </c>
      <c r="D212" t="s">
        <v>88</v>
      </c>
      <c r="E212" t="s">
        <v>2</v>
      </c>
      <c r="F212">
        <v>2600</v>
      </c>
    </row>
    <row r="213" spans="1:6" x14ac:dyDescent="0.3">
      <c r="A213" t="s">
        <v>86</v>
      </c>
      <c r="B213">
        <v>2025</v>
      </c>
      <c r="C213" t="s">
        <v>91</v>
      </c>
      <c r="D213" t="s">
        <v>88</v>
      </c>
      <c r="E213" t="s">
        <v>2</v>
      </c>
      <c r="F213">
        <v>2600</v>
      </c>
    </row>
    <row r="214" spans="1:6" x14ac:dyDescent="0.3">
      <c r="A214" t="s">
        <v>86</v>
      </c>
      <c r="B214">
        <v>2025</v>
      </c>
      <c r="C214" t="s">
        <v>87</v>
      </c>
      <c r="D214" t="s">
        <v>88</v>
      </c>
      <c r="E214" t="s">
        <v>2</v>
      </c>
      <c r="F214">
        <v>2600</v>
      </c>
    </row>
    <row r="215" spans="1:6" hidden="1" x14ac:dyDescent="0.3">
      <c r="A215" t="s">
        <v>86</v>
      </c>
      <c r="B215">
        <v>2026</v>
      </c>
      <c r="C215" t="s">
        <v>89</v>
      </c>
      <c r="D215" t="s">
        <v>88</v>
      </c>
      <c r="E215" t="s">
        <v>2</v>
      </c>
      <c r="F215">
        <v>0</v>
      </c>
    </row>
    <row r="216" spans="1:6" hidden="1" x14ac:dyDescent="0.3">
      <c r="A216" t="s">
        <v>86</v>
      </c>
      <c r="B216">
        <v>2026</v>
      </c>
      <c r="C216" t="s">
        <v>90</v>
      </c>
      <c r="D216" t="s">
        <v>88</v>
      </c>
      <c r="E216" t="s">
        <v>2</v>
      </c>
      <c r="F216">
        <v>0</v>
      </c>
    </row>
    <row r="217" spans="1:6" hidden="1" x14ac:dyDescent="0.3">
      <c r="A217" t="s">
        <v>86</v>
      </c>
      <c r="B217">
        <v>2026</v>
      </c>
      <c r="C217" t="s">
        <v>91</v>
      </c>
      <c r="D217" t="s">
        <v>88</v>
      </c>
      <c r="E217" t="s">
        <v>2</v>
      </c>
      <c r="F217">
        <v>0</v>
      </c>
    </row>
    <row r="218" spans="1:6" hidden="1" x14ac:dyDescent="0.3">
      <c r="A218" t="s">
        <v>86</v>
      </c>
      <c r="B218">
        <v>2026</v>
      </c>
      <c r="C218" t="s">
        <v>87</v>
      </c>
      <c r="D218" t="s">
        <v>88</v>
      </c>
      <c r="E218" t="s">
        <v>2</v>
      </c>
      <c r="F218">
        <v>0</v>
      </c>
    </row>
    <row r="219" spans="1:6" hidden="1" x14ac:dyDescent="0.3">
      <c r="A219" t="s">
        <v>86</v>
      </c>
      <c r="B219">
        <v>2027</v>
      </c>
      <c r="C219" t="s">
        <v>89</v>
      </c>
      <c r="D219" t="s">
        <v>88</v>
      </c>
      <c r="E219" t="s">
        <v>2</v>
      </c>
      <c r="F219">
        <v>0</v>
      </c>
    </row>
    <row r="220" spans="1:6" hidden="1" x14ac:dyDescent="0.3">
      <c r="A220" t="s">
        <v>86</v>
      </c>
      <c r="B220">
        <v>2027</v>
      </c>
      <c r="C220" t="s">
        <v>90</v>
      </c>
      <c r="D220" t="s">
        <v>88</v>
      </c>
      <c r="E220" t="s">
        <v>2</v>
      </c>
      <c r="F220">
        <v>0</v>
      </c>
    </row>
    <row r="221" spans="1:6" hidden="1" x14ac:dyDescent="0.3">
      <c r="A221" t="s">
        <v>86</v>
      </c>
      <c r="B221">
        <v>2027</v>
      </c>
      <c r="C221" t="s">
        <v>91</v>
      </c>
      <c r="D221" t="s">
        <v>88</v>
      </c>
      <c r="E221" t="s">
        <v>2</v>
      </c>
      <c r="F221">
        <v>0</v>
      </c>
    </row>
    <row r="222" spans="1:6" hidden="1" x14ac:dyDescent="0.3">
      <c r="A222" t="s">
        <v>86</v>
      </c>
      <c r="B222">
        <v>2027</v>
      </c>
      <c r="C222" t="s">
        <v>87</v>
      </c>
      <c r="D222" t="s">
        <v>88</v>
      </c>
      <c r="E222" t="s">
        <v>2</v>
      </c>
      <c r="F222">
        <v>0</v>
      </c>
    </row>
    <row r="223" spans="1:6" hidden="1" x14ac:dyDescent="0.3">
      <c r="A223" t="s">
        <v>86</v>
      </c>
      <c r="B223">
        <v>2028</v>
      </c>
      <c r="C223" t="s">
        <v>89</v>
      </c>
      <c r="D223" t="s">
        <v>88</v>
      </c>
      <c r="E223" t="s">
        <v>2</v>
      </c>
      <c r="F223">
        <v>0</v>
      </c>
    </row>
    <row r="224" spans="1:6" hidden="1" x14ac:dyDescent="0.3">
      <c r="A224" t="s">
        <v>86</v>
      </c>
      <c r="B224">
        <v>2028</v>
      </c>
      <c r="C224" t="s">
        <v>90</v>
      </c>
      <c r="D224" t="s">
        <v>88</v>
      </c>
      <c r="E224" t="s">
        <v>2</v>
      </c>
      <c r="F224">
        <v>0</v>
      </c>
    </row>
    <row r="225" spans="1:6" hidden="1" x14ac:dyDescent="0.3">
      <c r="A225" t="s">
        <v>86</v>
      </c>
      <c r="B225">
        <v>2028</v>
      </c>
      <c r="C225" t="s">
        <v>91</v>
      </c>
      <c r="D225" t="s">
        <v>88</v>
      </c>
      <c r="E225" t="s">
        <v>2</v>
      </c>
      <c r="F225">
        <v>0</v>
      </c>
    </row>
    <row r="226" spans="1:6" hidden="1" x14ac:dyDescent="0.3">
      <c r="A226" t="s">
        <v>86</v>
      </c>
      <c r="B226">
        <v>2028</v>
      </c>
      <c r="C226" t="s">
        <v>87</v>
      </c>
      <c r="D226" t="s">
        <v>88</v>
      </c>
      <c r="E226" t="s">
        <v>2</v>
      </c>
      <c r="F22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opLeftCell="A10" workbookViewId="0">
      <selection activeCell="A13" sqref="A13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3">
      <c r="A2" s="23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x14ac:dyDescent="0.3">
      <c r="A3" s="8" t="s">
        <v>11</v>
      </c>
      <c r="B3" s="18">
        <f>Sales_Budget!B3</f>
        <v>190</v>
      </c>
      <c r="C3" s="18">
        <f>Sales_Budget!C3</f>
        <v>500</v>
      </c>
      <c r="D3" s="18">
        <f>Sales_Budget!D3</f>
        <v>750</v>
      </c>
      <c r="E3" s="18">
        <f>Sales_Budget!E3</f>
        <v>700</v>
      </c>
      <c r="F3" s="18">
        <f>Sales_Budget!F3</f>
        <v>300</v>
      </c>
      <c r="G3" s="18">
        <f>Sales_Budget!G3</f>
        <v>850</v>
      </c>
      <c r="H3" s="18">
        <f>Sales_Budget!H3</f>
        <v>1000</v>
      </c>
      <c r="I3" s="18">
        <f>Sales_Budget!I3</f>
        <v>690</v>
      </c>
      <c r="J3" s="18">
        <f>Sales_Budget!J3</f>
        <v>300</v>
      </c>
      <c r="K3" s="18">
        <f>Sales_Budget!K3</f>
        <v>800</v>
      </c>
      <c r="L3" s="18">
        <f>Sales_Budget!L3</f>
        <v>950</v>
      </c>
      <c r="M3" s="18">
        <f>Sales_Budget!M3</f>
        <v>780</v>
      </c>
      <c r="N3" s="18">
        <f>Sales_Budget!N3</f>
        <v>780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5">
        <v>0</v>
      </c>
      <c r="Z3" s="45">
        <v>0</v>
      </c>
    </row>
    <row r="4" spans="1:26" x14ac:dyDescent="0.3">
      <c r="A4" s="8" t="s">
        <v>15</v>
      </c>
      <c r="B4" s="17">
        <v>43.7</v>
      </c>
      <c r="C4" s="17">
        <v>43.7</v>
      </c>
      <c r="D4" s="17">
        <v>43.7</v>
      </c>
      <c r="E4" s="17">
        <v>43.7</v>
      </c>
      <c r="F4" s="17">
        <v>46</v>
      </c>
      <c r="G4" s="17">
        <v>52</v>
      </c>
      <c r="H4" s="17">
        <v>39.4</v>
      </c>
      <c r="I4" s="17">
        <v>46</v>
      </c>
      <c r="J4" s="17">
        <v>44.2</v>
      </c>
      <c r="K4" s="17">
        <v>50.1</v>
      </c>
      <c r="L4" s="17">
        <v>57</v>
      </c>
      <c r="M4" s="17">
        <v>51.4</v>
      </c>
      <c r="N4" s="17">
        <v>48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46">
        <v>0</v>
      </c>
      <c r="Z4" s="46">
        <v>0</v>
      </c>
    </row>
    <row r="5" spans="1:26" x14ac:dyDescent="0.3">
      <c r="A5" s="8" t="s">
        <v>16</v>
      </c>
      <c r="B5" s="18">
        <f>B3*B4</f>
        <v>8303</v>
      </c>
      <c r="C5" s="18">
        <f t="shared" ref="C5:N5" si="0">C3*C4</f>
        <v>21850</v>
      </c>
      <c r="D5" s="18">
        <f t="shared" si="0"/>
        <v>32775</v>
      </c>
      <c r="E5" s="18">
        <f t="shared" si="0"/>
        <v>30590.000000000004</v>
      </c>
      <c r="F5" s="18">
        <f t="shared" si="0"/>
        <v>13800</v>
      </c>
      <c r="G5" s="18">
        <f t="shared" si="0"/>
        <v>44200</v>
      </c>
      <c r="H5" s="18">
        <f t="shared" si="0"/>
        <v>39400</v>
      </c>
      <c r="I5" s="18">
        <f t="shared" si="0"/>
        <v>31740</v>
      </c>
      <c r="J5" s="18">
        <f t="shared" si="0"/>
        <v>13260</v>
      </c>
      <c r="K5" s="18">
        <f t="shared" si="0"/>
        <v>40080</v>
      </c>
      <c r="L5" s="18">
        <f t="shared" si="0"/>
        <v>54150</v>
      </c>
      <c r="M5" s="18">
        <f t="shared" si="0"/>
        <v>40092</v>
      </c>
      <c r="N5" s="18">
        <f t="shared" si="0"/>
        <v>37440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4">
        <v>0</v>
      </c>
      <c r="Z5" s="44">
        <v>0</v>
      </c>
    </row>
    <row r="6" spans="1:26" x14ac:dyDescent="0.3">
      <c r="A6" s="23" t="s">
        <v>3</v>
      </c>
      <c r="B6" s="28"/>
      <c r="C6" s="28"/>
      <c r="D6" s="28"/>
      <c r="E6" s="28"/>
      <c r="F6" s="71"/>
      <c r="G6" s="71"/>
      <c r="H6" s="71"/>
      <c r="I6" s="71"/>
      <c r="J6" s="71"/>
      <c r="K6" s="71"/>
      <c r="L6" s="71"/>
      <c r="M6" s="71"/>
      <c r="N6" s="71"/>
      <c r="O6" s="27"/>
      <c r="P6" s="27"/>
      <c r="Q6" s="27"/>
      <c r="R6" s="27"/>
      <c r="S6" s="27"/>
      <c r="T6" s="27"/>
      <c r="U6" s="27"/>
      <c r="V6" s="27"/>
      <c r="W6" s="27"/>
      <c r="X6" s="27"/>
      <c r="Y6" s="48"/>
      <c r="Z6" s="48"/>
    </row>
    <row r="7" spans="1:26" x14ac:dyDescent="0.3">
      <c r="A7" s="8" t="s">
        <v>11</v>
      </c>
      <c r="B7" s="18">
        <f>Sales_Budget!B7</f>
        <v>40</v>
      </c>
      <c r="C7" s="18">
        <f>Sales_Budget!C7</f>
        <v>200</v>
      </c>
      <c r="D7" s="18">
        <f>Sales_Budget!D7</f>
        <v>200</v>
      </c>
      <c r="E7" s="18">
        <f>Sales_Budget!E7</f>
        <v>150</v>
      </c>
      <c r="F7" s="18">
        <f>Sales_Budget!F7</f>
        <v>70</v>
      </c>
      <c r="G7" s="18">
        <f>Sales_Budget!G7</f>
        <v>130</v>
      </c>
      <c r="H7" s="18">
        <f>Sales_Budget!H7</f>
        <v>200</v>
      </c>
      <c r="I7" s="18">
        <f>Sales_Budget!I7</f>
        <v>110</v>
      </c>
      <c r="J7" s="18">
        <f>Sales_Budget!J7</f>
        <v>90</v>
      </c>
      <c r="K7" s="18">
        <f>Sales_Budget!K7</f>
        <v>150</v>
      </c>
      <c r="L7" s="18">
        <f>Sales_Budget!L7</f>
        <v>200</v>
      </c>
      <c r="M7" s="18">
        <f>Sales_Budget!M7</f>
        <v>110</v>
      </c>
      <c r="N7" s="18">
        <f>Sales_Budget!N7</f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4">
        <v>0</v>
      </c>
      <c r="Z7" s="44">
        <v>0</v>
      </c>
    </row>
    <row r="8" spans="1:26" x14ac:dyDescent="0.3">
      <c r="A8" s="8" t="s">
        <v>15</v>
      </c>
      <c r="B8" s="17">
        <v>153</v>
      </c>
      <c r="C8" s="17">
        <v>170.5</v>
      </c>
      <c r="D8" s="17">
        <v>173.5</v>
      </c>
      <c r="E8" s="17">
        <v>175.5</v>
      </c>
      <c r="F8" s="17">
        <v>177</v>
      </c>
      <c r="G8" s="75">
        <v>177</v>
      </c>
      <c r="H8" s="75">
        <v>177</v>
      </c>
      <c r="I8" s="75">
        <v>185.4</v>
      </c>
      <c r="J8" s="75">
        <v>185.4</v>
      </c>
      <c r="K8" s="75">
        <v>185.4</v>
      </c>
      <c r="L8" s="75">
        <v>185.4</v>
      </c>
      <c r="M8" s="75">
        <v>185.4</v>
      </c>
      <c r="N8" s="44">
        <v>190.1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5">
        <v>0</v>
      </c>
      <c r="Z8" s="45">
        <v>0</v>
      </c>
    </row>
    <row r="9" spans="1:26" x14ac:dyDescent="0.3">
      <c r="A9" s="8" t="s">
        <v>16</v>
      </c>
      <c r="B9" s="21">
        <f>B7*B8</f>
        <v>6120</v>
      </c>
      <c r="C9" s="21">
        <f t="shared" ref="C9:N9" si="1">C7*C8</f>
        <v>34100</v>
      </c>
      <c r="D9" s="21">
        <f t="shared" si="1"/>
        <v>34700</v>
      </c>
      <c r="E9" s="21">
        <f t="shared" si="1"/>
        <v>26325</v>
      </c>
      <c r="F9" s="21">
        <f t="shared" si="1"/>
        <v>12390</v>
      </c>
      <c r="G9" s="21">
        <f t="shared" si="1"/>
        <v>23010</v>
      </c>
      <c r="H9" s="21">
        <f t="shared" si="1"/>
        <v>35400</v>
      </c>
      <c r="I9" s="21">
        <f t="shared" si="1"/>
        <v>20394</v>
      </c>
      <c r="J9" s="21">
        <f t="shared" si="1"/>
        <v>16686</v>
      </c>
      <c r="K9" s="21">
        <f t="shared" si="1"/>
        <v>27810</v>
      </c>
      <c r="L9" s="21">
        <f t="shared" si="1"/>
        <v>37080</v>
      </c>
      <c r="M9" s="21">
        <f t="shared" si="1"/>
        <v>20394</v>
      </c>
      <c r="N9" s="21">
        <f t="shared" si="1"/>
        <v>20911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4">
        <v>0</v>
      </c>
      <c r="Z9" s="44">
        <v>0</v>
      </c>
    </row>
    <row r="10" spans="1:26" x14ac:dyDescent="0.3">
      <c r="A10" s="23" t="s">
        <v>4</v>
      </c>
      <c r="B10" s="28"/>
      <c r="C10" s="28"/>
      <c r="D10" s="28"/>
      <c r="E10" s="28"/>
      <c r="F10" s="71"/>
      <c r="G10" s="71"/>
      <c r="H10" s="71"/>
      <c r="I10" s="71"/>
      <c r="J10" s="71"/>
      <c r="K10" s="71"/>
      <c r="L10" s="71"/>
      <c r="M10" s="71"/>
      <c r="N10" s="71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48"/>
      <c r="Z10" s="48"/>
    </row>
    <row r="11" spans="1:26" x14ac:dyDescent="0.3">
      <c r="A11" s="8" t="s">
        <v>11</v>
      </c>
      <c r="B11" s="18">
        <f>Sales_Budget!B11</f>
        <v>6000</v>
      </c>
      <c r="C11" s="18">
        <f>Sales_Budget!C11</f>
        <v>10000</v>
      </c>
      <c r="D11" s="18">
        <f>Sales_Budget!D11</f>
        <v>12000</v>
      </c>
      <c r="E11" s="18">
        <f>Sales_Budget!E11</f>
        <v>12000</v>
      </c>
      <c r="F11" s="18">
        <f>Sales_Budget!F11</f>
        <v>12000</v>
      </c>
      <c r="G11" s="18">
        <f>Sales_Budget!G11</f>
        <v>12000</v>
      </c>
      <c r="H11" s="18">
        <f>Sales_Budget!H11</f>
        <v>10000</v>
      </c>
      <c r="I11" s="18">
        <f>Sales_Budget!I11</f>
        <v>10000</v>
      </c>
      <c r="J11" s="18">
        <f>Sales_Budget!J11</f>
        <v>7000</v>
      </c>
      <c r="K11" s="18">
        <f>Sales_Budget!K11</f>
        <v>10000</v>
      </c>
      <c r="L11" s="18">
        <f>Sales_Budget!L11</f>
        <v>12000</v>
      </c>
      <c r="M11" s="18">
        <f>Sales_Budget!M11</f>
        <v>10000</v>
      </c>
      <c r="N11" s="18">
        <f>Sales_Budget!N11</f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4">
        <v>0</v>
      </c>
      <c r="Z11" s="44">
        <v>0</v>
      </c>
    </row>
    <row r="12" spans="1:26" x14ac:dyDescent="0.3">
      <c r="A12" s="8" t="s">
        <v>15</v>
      </c>
      <c r="B12" s="18">
        <v>9.9</v>
      </c>
      <c r="C12" s="18">
        <v>9.9</v>
      </c>
      <c r="D12" s="18">
        <v>9.9</v>
      </c>
      <c r="E12" s="18">
        <v>9.9</v>
      </c>
      <c r="F12" s="18">
        <v>9.9</v>
      </c>
      <c r="G12" s="30">
        <v>10.1</v>
      </c>
      <c r="H12" s="30">
        <v>11.5</v>
      </c>
      <c r="I12" s="30">
        <v>11.5</v>
      </c>
      <c r="J12" s="45">
        <v>11.5</v>
      </c>
      <c r="K12" s="46">
        <v>10</v>
      </c>
      <c r="L12" s="44">
        <v>13.4</v>
      </c>
      <c r="M12" s="44">
        <v>13.4</v>
      </c>
      <c r="N12" s="44">
        <v>10.1</v>
      </c>
      <c r="O12" s="35">
        <v>0</v>
      </c>
      <c r="P12" s="35">
        <v>0</v>
      </c>
      <c r="Q12" s="35">
        <v>0</v>
      </c>
      <c r="R12" s="35">
        <v>0</v>
      </c>
      <c r="S12" s="35">
        <v>0</v>
      </c>
      <c r="T12" s="35">
        <v>0</v>
      </c>
      <c r="U12" s="35">
        <v>0</v>
      </c>
      <c r="V12" s="35">
        <v>0</v>
      </c>
      <c r="W12" s="35">
        <v>0</v>
      </c>
      <c r="X12" s="35">
        <v>0</v>
      </c>
      <c r="Y12" s="46">
        <v>0</v>
      </c>
      <c r="Z12" s="46">
        <v>0</v>
      </c>
    </row>
    <row r="13" spans="1:26" x14ac:dyDescent="0.3">
      <c r="A13" s="8" t="s">
        <v>16</v>
      </c>
      <c r="B13" s="20">
        <f>B11*B12</f>
        <v>59400</v>
      </c>
      <c r="C13" s="20">
        <f t="shared" ref="C13:N13" si="2">C11*C12</f>
        <v>99000</v>
      </c>
      <c r="D13" s="20">
        <f t="shared" si="2"/>
        <v>118800</v>
      </c>
      <c r="E13" s="20">
        <f t="shared" si="2"/>
        <v>118800</v>
      </c>
      <c r="F13" s="20">
        <f t="shared" si="2"/>
        <v>118800</v>
      </c>
      <c r="G13" s="20">
        <f t="shared" si="2"/>
        <v>121200</v>
      </c>
      <c r="H13" s="20">
        <f t="shared" si="2"/>
        <v>115000</v>
      </c>
      <c r="I13" s="20">
        <f t="shared" si="2"/>
        <v>115000</v>
      </c>
      <c r="J13" s="20">
        <f t="shared" si="2"/>
        <v>80500</v>
      </c>
      <c r="K13" s="20">
        <f t="shared" si="2"/>
        <v>100000</v>
      </c>
      <c r="L13" s="20">
        <f t="shared" si="2"/>
        <v>160800</v>
      </c>
      <c r="M13" s="20">
        <f t="shared" si="2"/>
        <v>134000</v>
      </c>
      <c r="N13" s="20">
        <f t="shared" si="2"/>
        <v>101000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4">
        <v>0</v>
      </c>
      <c r="Z13" s="44">
        <v>0</v>
      </c>
    </row>
    <row r="14" spans="1:26" x14ac:dyDescent="0.3">
      <c r="A14" s="23" t="s">
        <v>5</v>
      </c>
      <c r="B14" s="72"/>
      <c r="C14" s="72"/>
      <c r="D14" s="72"/>
      <c r="E14" s="72"/>
      <c r="F14" s="72"/>
      <c r="G14" s="73"/>
      <c r="H14" s="71"/>
      <c r="I14" s="71"/>
      <c r="J14" s="71"/>
      <c r="K14" s="71"/>
      <c r="L14" s="71"/>
      <c r="M14" s="71"/>
      <c r="N14" s="71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48"/>
      <c r="Z14" s="48"/>
    </row>
    <row r="15" spans="1:26" x14ac:dyDescent="0.3">
      <c r="A15" s="8" t="s">
        <v>11</v>
      </c>
      <c r="B15" s="20">
        <f>Sales_Budget!B15</f>
        <v>0</v>
      </c>
      <c r="C15" s="20">
        <f>Sales_Budget!C15</f>
        <v>0</v>
      </c>
      <c r="D15" s="20">
        <f>Sales_Budget!D15</f>
        <v>0</v>
      </c>
      <c r="E15" s="20">
        <f>Sales_Budget!E15</f>
        <v>0</v>
      </c>
      <c r="F15" s="20">
        <f>Sales_Budget!F15</f>
        <v>0</v>
      </c>
      <c r="G15" s="20">
        <f>Sales_Budget!G15</f>
        <v>0</v>
      </c>
      <c r="H15" s="20">
        <f>Sales_Budget!H15</f>
        <v>250</v>
      </c>
      <c r="I15" s="20">
        <f>Sales_Budget!I15</f>
        <v>100</v>
      </c>
      <c r="J15" s="20">
        <f>Sales_Budget!J15</f>
        <v>150</v>
      </c>
      <c r="K15" s="20">
        <f>Sales_Budget!K15</f>
        <v>1000</v>
      </c>
      <c r="L15" s="20">
        <f>Sales_Budget!L15</f>
        <v>500</v>
      </c>
      <c r="M15" s="20">
        <f>Sales_Budget!M15</f>
        <v>150</v>
      </c>
      <c r="N15" s="20">
        <f>Sales_Budget!N15</f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4">
        <v>0</v>
      </c>
      <c r="Z15" s="44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38">
        <v>7</v>
      </c>
      <c r="I16" s="44">
        <v>6.1</v>
      </c>
      <c r="J16" s="44">
        <v>9.5</v>
      </c>
      <c r="K16" s="38">
        <v>9.5</v>
      </c>
      <c r="L16" s="44">
        <v>9.5</v>
      </c>
      <c r="M16" s="44">
        <v>9.5</v>
      </c>
      <c r="N16" s="44">
        <v>10.6</v>
      </c>
      <c r="O16" s="3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4">
        <v>0</v>
      </c>
      <c r="Z16" s="44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1750</v>
      </c>
      <c r="I17" s="20">
        <f t="shared" si="3"/>
        <v>610</v>
      </c>
      <c r="J17" s="20">
        <f t="shared" si="3"/>
        <v>1425</v>
      </c>
      <c r="K17" s="20">
        <f t="shared" si="3"/>
        <v>9500</v>
      </c>
      <c r="L17" s="20">
        <f t="shared" si="3"/>
        <v>4750</v>
      </c>
      <c r="M17" s="20">
        <f t="shared" si="3"/>
        <v>1425</v>
      </c>
      <c r="N17" s="20">
        <f t="shared" si="3"/>
        <v>1590</v>
      </c>
      <c r="O17" s="42">
        <v>0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4">
        <v>0</v>
      </c>
      <c r="Z17" s="44">
        <v>0</v>
      </c>
    </row>
    <row r="18" spans="1:26" x14ac:dyDescent="0.3">
      <c r="A18" s="23" t="s">
        <v>6</v>
      </c>
      <c r="B18" s="72"/>
      <c r="C18" s="72"/>
      <c r="D18" s="72"/>
      <c r="E18" s="72"/>
      <c r="F18" s="72"/>
      <c r="G18" s="73"/>
      <c r="H18" s="71"/>
      <c r="I18" s="71"/>
      <c r="J18" s="71"/>
      <c r="K18" s="71"/>
      <c r="L18" s="71"/>
      <c r="M18" s="71"/>
      <c r="N18" s="71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48"/>
      <c r="Z18" s="48"/>
    </row>
    <row r="19" spans="1:26" x14ac:dyDescent="0.3">
      <c r="A19" s="8" t="s">
        <v>14</v>
      </c>
      <c r="B19" s="18">
        <f>Sales_Budget!B19</f>
        <v>200</v>
      </c>
      <c r="C19" s="18">
        <f>Sales_Budget!C19</f>
        <v>150</v>
      </c>
      <c r="D19" s="18">
        <f>Sales_Budget!D19</f>
        <v>180</v>
      </c>
      <c r="E19" s="18">
        <f>Sales_Budget!E19</f>
        <v>250</v>
      </c>
      <c r="F19" s="18">
        <f>Sales_Budget!F19</f>
        <v>270</v>
      </c>
      <c r="G19" s="18">
        <f>Sales_Budget!G19</f>
        <v>270</v>
      </c>
      <c r="H19" s="18">
        <f>Sales_Budget!H19</f>
        <v>150</v>
      </c>
      <c r="I19" s="18">
        <f>Sales_Budget!I19</f>
        <v>250</v>
      </c>
      <c r="J19" s="18">
        <f>Sales_Budget!J19</f>
        <v>200</v>
      </c>
      <c r="K19" s="18">
        <f>Sales_Budget!K19</f>
        <v>200</v>
      </c>
      <c r="L19" s="18">
        <f>Sales_Budget!L19</f>
        <v>150</v>
      </c>
      <c r="M19" s="18">
        <f>Sales_Budget!M19</f>
        <v>80</v>
      </c>
      <c r="N19" s="18">
        <f>Sales_Budget!N19</f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4">
        <v>0</v>
      </c>
      <c r="Z19" s="44">
        <v>0</v>
      </c>
    </row>
    <row r="20" spans="1:26" x14ac:dyDescent="0.3">
      <c r="A20" s="8" t="s">
        <v>15</v>
      </c>
      <c r="B20" s="17">
        <v>57.4</v>
      </c>
      <c r="C20" s="17">
        <v>45.1</v>
      </c>
      <c r="D20" s="17">
        <v>50.14</v>
      </c>
      <c r="E20" s="17">
        <v>45</v>
      </c>
      <c r="F20" s="17">
        <v>32.5</v>
      </c>
      <c r="G20" s="17">
        <v>45</v>
      </c>
      <c r="H20" s="17">
        <v>47</v>
      </c>
      <c r="I20" s="17">
        <v>52.4</v>
      </c>
      <c r="J20" s="17">
        <v>45.4</v>
      </c>
      <c r="K20" s="17">
        <v>45.4</v>
      </c>
      <c r="L20" s="17">
        <v>45.4</v>
      </c>
      <c r="M20" s="17">
        <v>45.4</v>
      </c>
      <c r="N20" s="17">
        <v>45.4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5">
        <v>0</v>
      </c>
      <c r="Z20" s="45">
        <v>0</v>
      </c>
    </row>
    <row r="21" spans="1:26" x14ac:dyDescent="0.3">
      <c r="A21" s="8" t="s">
        <v>16</v>
      </c>
      <c r="B21" s="20">
        <f>B19*B20</f>
        <v>11480</v>
      </c>
      <c r="C21" s="20">
        <f t="shared" ref="C21:N21" si="4">C19*C20</f>
        <v>6765</v>
      </c>
      <c r="D21" s="20">
        <f t="shared" si="4"/>
        <v>9025.2000000000007</v>
      </c>
      <c r="E21" s="20">
        <f t="shared" si="4"/>
        <v>11250</v>
      </c>
      <c r="F21" s="20">
        <f t="shared" si="4"/>
        <v>8775</v>
      </c>
      <c r="G21" s="20">
        <f t="shared" si="4"/>
        <v>12150</v>
      </c>
      <c r="H21" s="20">
        <f t="shared" si="4"/>
        <v>7050</v>
      </c>
      <c r="I21" s="20">
        <f t="shared" si="4"/>
        <v>13100</v>
      </c>
      <c r="J21" s="20">
        <f t="shared" si="4"/>
        <v>9080</v>
      </c>
      <c r="K21" s="20">
        <f t="shared" si="4"/>
        <v>9080</v>
      </c>
      <c r="L21" s="20">
        <f t="shared" si="4"/>
        <v>6810</v>
      </c>
      <c r="M21" s="20">
        <f t="shared" si="4"/>
        <v>3632</v>
      </c>
      <c r="N21" s="20">
        <f t="shared" si="4"/>
        <v>3632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4">
        <v>0</v>
      </c>
      <c r="Z21" s="44">
        <v>0</v>
      </c>
    </row>
    <row r="22" spans="1:26" x14ac:dyDescent="0.3">
      <c r="A22" s="23" t="s">
        <v>7</v>
      </c>
      <c r="B22" s="72"/>
      <c r="C22" s="72"/>
      <c r="D22" s="72"/>
      <c r="E22" s="72"/>
      <c r="F22" s="72"/>
      <c r="G22" s="73"/>
      <c r="H22" s="71"/>
      <c r="I22" s="71"/>
      <c r="J22" s="71"/>
      <c r="K22" s="71"/>
      <c r="L22" s="71"/>
      <c r="M22" s="71"/>
      <c r="N22" s="71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48"/>
      <c r="Z22" s="48"/>
    </row>
    <row r="23" spans="1:26" x14ac:dyDescent="0.3">
      <c r="A23" s="8" t="s">
        <v>14</v>
      </c>
      <c r="B23" s="21">
        <f>Sales_Budget!B23</f>
        <v>130</v>
      </c>
      <c r="C23" s="21">
        <f>Sales_Budget!C23</f>
        <v>190</v>
      </c>
      <c r="D23" s="21">
        <f>Sales_Budget!D23</f>
        <v>250</v>
      </c>
      <c r="E23" s="21">
        <f>Sales_Budget!E23</f>
        <v>250</v>
      </c>
      <c r="F23" s="21">
        <f>Sales_Budget!F23</f>
        <v>280</v>
      </c>
      <c r="G23" s="21">
        <f>Sales_Budget!G23</f>
        <v>200</v>
      </c>
      <c r="H23" s="21">
        <f>Sales_Budget!H23</f>
        <v>250</v>
      </c>
      <c r="I23" s="21">
        <f>Sales_Budget!I23</f>
        <v>150</v>
      </c>
      <c r="J23" s="21">
        <f>Sales_Budget!J23</f>
        <v>150</v>
      </c>
      <c r="K23" s="21">
        <f>Sales_Budget!K23</f>
        <v>210</v>
      </c>
      <c r="L23" s="21">
        <f>Sales_Budget!L23</f>
        <v>80</v>
      </c>
      <c r="M23" s="21">
        <f>Sales_Budget!M23</f>
        <v>150</v>
      </c>
      <c r="N23" s="21">
        <f>Sales_Budget!N23</f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4">
        <v>0</v>
      </c>
      <c r="Z23" s="44">
        <v>0</v>
      </c>
    </row>
    <row r="24" spans="1:26" x14ac:dyDescent="0.3">
      <c r="A24" s="8" t="s">
        <v>15</v>
      </c>
      <c r="B24" s="21">
        <v>25</v>
      </c>
      <c r="C24" s="21">
        <v>25</v>
      </c>
      <c r="D24" s="21">
        <v>27</v>
      </c>
      <c r="E24" s="21">
        <v>27</v>
      </c>
      <c r="F24" s="21">
        <v>19</v>
      </c>
      <c r="G24" s="21">
        <v>27</v>
      </c>
      <c r="H24" s="21">
        <v>27</v>
      </c>
      <c r="I24" s="21">
        <v>27</v>
      </c>
      <c r="J24" s="21">
        <v>25.4</v>
      </c>
      <c r="K24" s="21">
        <v>25.4</v>
      </c>
      <c r="L24" s="21">
        <v>25.4</v>
      </c>
      <c r="M24" s="21">
        <v>27.5</v>
      </c>
      <c r="N24" s="21">
        <v>29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5">
        <v>0</v>
      </c>
      <c r="Z24" s="45">
        <v>0</v>
      </c>
    </row>
    <row r="25" spans="1:26" x14ac:dyDescent="0.3">
      <c r="A25" s="8" t="s">
        <v>16</v>
      </c>
      <c r="B25" s="21">
        <f>B23*B24</f>
        <v>3250</v>
      </c>
      <c r="C25" s="21">
        <f t="shared" ref="C25:N25" si="5">C23*C24</f>
        <v>4750</v>
      </c>
      <c r="D25" s="21">
        <f t="shared" si="5"/>
        <v>6750</v>
      </c>
      <c r="E25" s="21">
        <f t="shared" si="5"/>
        <v>6750</v>
      </c>
      <c r="F25" s="21">
        <f t="shared" si="5"/>
        <v>5320</v>
      </c>
      <c r="G25" s="21">
        <f t="shared" si="5"/>
        <v>5400</v>
      </c>
      <c r="H25" s="21">
        <f t="shared" si="5"/>
        <v>6750</v>
      </c>
      <c r="I25" s="21">
        <f t="shared" si="5"/>
        <v>4050</v>
      </c>
      <c r="J25" s="21">
        <f t="shared" si="5"/>
        <v>3810</v>
      </c>
      <c r="K25" s="21">
        <f t="shared" si="5"/>
        <v>5334</v>
      </c>
      <c r="L25" s="21">
        <f t="shared" si="5"/>
        <v>2032</v>
      </c>
      <c r="M25" s="21">
        <f t="shared" si="5"/>
        <v>4125</v>
      </c>
      <c r="N25" s="21">
        <f t="shared" si="5"/>
        <v>4350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4">
        <v>0</v>
      </c>
      <c r="Z25" s="44">
        <v>0</v>
      </c>
    </row>
    <row r="26" spans="1:26" x14ac:dyDescent="0.3">
      <c r="A26" s="34" t="s">
        <v>8</v>
      </c>
      <c r="B26" s="72"/>
      <c r="C26" s="72"/>
      <c r="D26" s="72"/>
      <c r="E26" s="72"/>
      <c r="F26" s="72"/>
      <c r="G26" s="73"/>
      <c r="H26" s="71"/>
      <c r="I26" s="71"/>
      <c r="J26" s="71"/>
      <c r="K26" s="71"/>
      <c r="L26" s="71"/>
      <c r="M26" s="71"/>
      <c r="N26" s="71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48"/>
      <c r="Z26" s="48"/>
    </row>
    <row r="27" spans="1:26" x14ac:dyDescent="0.3">
      <c r="A27" s="8" t="s">
        <v>11</v>
      </c>
      <c r="B27" s="20">
        <f>Sales_Budget!B27</f>
        <v>0</v>
      </c>
      <c r="C27" s="20">
        <f>Sales_Budget!C27</f>
        <v>0</v>
      </c>
      <c r="D27" s="20">
        <f>Sales_Budget!D27</f>
        <v>150</v>
      </c>
      <c r="E27" s="20">
        <f>Sales_Budget!E27</f>
        <v>90</v>
      </c>
      <c r="F27" s="20">
        <f>Sales_Budget!F27</f>
        <v>80</v>
      </c>
      <c r="G27" s="20">
        <f>Sales_Budget!G27</f>
        <v>330</v>
      </c>
      <c r="H27" s="20">
        <f>Sales_Budget!H27</f>
        <v>400</v>
      </c>
      <c r="I27" s="20">
        <f>Sales_Budget!I27</f>
        <v>500</v>
      </c>
      <c r="J27" s="20">
        <f>Sales_Budget!J27</f>
        <v>250</v>
      </c>
      <c r="K27" s="20">
        <f>Sales_Budget!K27</f>
        <v>650</v>
      </c>
      <c r="L27" s="20">
        <f>Sales_Budget!L27</f>
        <v>850</v>
      </c>
      <c r="M27" s="20">
        <f>Sales_Budget!M27</f>
        <v>730</v>
      </c>
      <c r="N27" s="20">
        <f>Sales_Budget!N27</f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4">
        <v>0</v>
      </c>
      <c r="Z27" s="44">
        <v>0</v>
      </c>
    </row>
    <row r="28" spans="1:26" x14ac:dyDescent="0.3">
      <c r="A28" s="8" t="s">
        <v>15</v>
      </c>
      <c r="B28" s="20">
        <v>0</v>
      </c>
      <c r="C28" s="20">
        <v>0</v>
      </c>
      <c r="D28" s="21">
        <v>12.6</v>
      </c>
      <c r="E28" s="21">
        <v>30</v>
      </c>
      <c r="F28" s="21">
        <v>16.5</v>
      </c>
      <c r="G28" s="21">
        <v>12</v>
      </c>
      <c r="H28" s="21">
        <v>10.7</v>
      </c>
      <c r="I28" s="21">
        <v>12.5</v>
      </c>
      <c r="J28" s="21">
        <v>11.4</v>
      </c>
      <c r="K28" s="21">
        <v>11.4</v>
      </c>
      <c r="L28" s="21">
        <v>11.4</v>
      </c>
      <c r="M28" s="21">
        <v>12.8</v>
      </c>
      <c r="N28" s="21">
        <v>12.5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5">
        <v>0</v>
      </c>
      <c r="Z28" s="45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0</v>
      </c>
      <c r="D29" s="20">
        <f t="shared" si="6"/>
        <v>1890</v>
      </c>
      <c r="E29" s="20">
        <f t="shared" si="6"/>
        <v>2700</v>
      </c>
      <c r="F29" s="20">
        <f t="shared" si="6"/>
        <v>1320</v>
      </c>
      <c r="G29" s="20">
        <f t="shared" si="6"/>
        <v>3960</v>
      </c>
      <c r="H29" s="20">
        <f t="shared" si="6"/>
        <v>4280</v>
      </c>
      <c r="I29" s="20">
        <f t="shared" si="6"/>
        <v>6250</v>
      </c>
      <c r="J29" s="20">
        <f t="shared" si="6"/>
        <v>2850</v>
      </c>
      <c r="K29" s="20">
        <f t="shared" si="6"/>
        <v>7410</v>
      </c>
      <c r="L29" s="20">
        <f t="shared" si="6"/>
        <v>9690</v>
      </c>
      <c r="M29" s="20">
        <f t="shared" si="6"/>
        <v>9344</v>
      </c>
      <c r="N29" s="20">
        <f t="shared" si="6"/>
        <v>9125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4">
        <v>0</v>
      </c>
      <c r="Z29" s="44">
        <v>0</v>
      </c>
    </row>
    <row r="30" spans="1:26" x14ac:dyDescent="0.3">
      <c r="A30" s="23" t="s">
        <v>9</v>
      </c>
      <c r="B30" s="72"/>
      <c r="C30" s="72"/>
      <c r="D30" s="72"/>
      <c r="E30" s="72"/>
      <c r="F30" s="72"/>
      <c r="G30" s="73"/>
      <c r="H30" s="71"/>
      <c r="I30" s="71"/>
      <c r="J30" s="71"/>
      <c r="K30" s="71"/>
      <c r="L30" s="71"/>
      <c r="M30" s="71"/>
      <c r="N30" s="71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47"/>
      <c r="Z30" s="47"/>
    </row>
    <row r="31" spans="1:26" x14ac:dyDescent="0.3">
      <c r="A31" s="8" t="s">
        <v>14</v>
      </c>
      <c r="B31" s="18">
        <f>Sales_Budget!B31</f>
        <v>20</v>
      </c>
      <c r="C31" s="18">
        <f>Sales_Budget!C31</f>
        <v>0</v>
      </c>
      <c r="D31" s="18">
        <f>Sales_Budget!D31</f>
        <v>20</v>
      </c>
      <c r="E31" s="18">
        <f>Sales_Budget!E31</f>
        <v>0</v>
      </c>
      <c r="F31" s="18">
        <f>Sales_Budget!F31</f>
        <v>0</v>
      </c>
      <c r="G31" s="18">
        <f>Sales_Budget!G31</f>
        <v>0</v>
      </c>
      <c r="H31" s="18">
        <f>Sales_Budget!H31</f>
        <v>0</v>
      </c>
      <c r="I31" s="18">
        <f>Sales_Budget!I31</f>
        <v>0</v>
      </c>
      <c r="J31" s="18">
        <f>Sales_Budget!J31</f>
        <v>0</v>
      </c>
      <c r="K31" s="18">
        <f>Sales_Budget!K31</f>
        <v>300</v>
      </c>
      <c r="L31" s="18">
        <f>Sales_Budget!L31</f>
        <v>600</v>
      </c>
      <c r="M31" s="18">
        <f>Sales_Budget!M31</f>
        <v>180</v>
      </c>
      <c r="N31" s="18">
        <f>Sales_Budget!N31</f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4">
        <v>0</v>
      </c>
      <c r="Z31" s="44">
        <v>0</v>
      </c>
    </row>
    <row r="32" spans="1:26" x14ac:dyDescent="0.3">
      <c r="A32" s="8" t="s">
        <v>15</v>
      </c>
      <c r="B32" s="17">
        <v>29.4</v>
      </c>
      <c r="C32" s="17">
        <v>0</v>
      </c>
      <c r="D32" s="17">
        <v>24.2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34.1</v>
      </c>
      <c r="L32" s="17">
        <v>34.1</v>
      </c>
      <c r="M32" s="17">
        <v>30</v>
      </c>
      <c r="N32" s="17">
        <v>31.1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5">
        <v>0</v>
      </c>
      <c r="Z32" s="45">
        <v>0</v>
      </c>
    </row>
    <row r="33" spans="1:26" x14ac:dyDescent="0.3">
      <c r="A33" s="8" t="s">
        <v>16</v>
      </c>
      <c r="B33" s="20">
        <f>B31*B32</f>
        <v>588</v>
      </c>
      <c r="C33" s="20">
        <f t="shared" ref="C33:N33" si="7">C31*C32</f>
        <v>0</v>
      </c>
      <c r="D33" s="20">
        <f t="shared" si="7"/>
        <v>484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10230</v>
      </c>
      <c r="L33" s="20">
        <f t="shared" si="7"/>
        <v>20460</v>
      </c>
      <c r="M33" s="20">
        <f t="shared" si="7"/>
        <v>5400</v>
      </c>
      <c r="N33" s="20">
        <f t="shared" si="7"/>
        <v>5598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4">
        <v>0</v>
      </c>
      <c r="Z33" s="44">
        <v>0</v>
      </c>
    </row>
    <row r="34" spans="1:26" x14ac:dyDescent="0.3">
      <c r="A34" s="23" t="s">
        <v>2</v>
      </c>
      <c r="B34" s="72"/>
      <c r="C34" s="72"/>
      <c r="D34" s="72"/>
      <c r="E34" s="72"/>
      <c r="F34" s="72"/>
      <c r="G34" s="73"/>
      <c r="H34" s="71"/>
      <c r="I34" s="71"/>
      <c r="J34" s="71"/>
      <c r="K34" s="71"/>
      <c r="L34" s="71"/>
      <c r="M34" s="71"/>
      <c r="N34" s="71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47"/>
      <c r="Z34" s="47"/>
    </row>
    <row r="35" spans="1:26" x14ac:dyDescent="0.3">
      <c r="A35" s="8" t="s">
        <v>16</v>
      </c>
      <c r="B35" s="20">
        <f>Sales_Budget!B37*0.65</f>
        <v>650</v>
      </c>
      <c r="C35" s="20">
        <f>Sales_Budget!C37*0.65</f>
        <v>2600</v>
      </c>
      <c r="D35" s="20">
        <f>Sales_Budget!D37*0.65</f>
        <v>2600</v>
      </c>
      <c r="E35" s="20">
        <f>Sales_Budget!E37*0.65</f>
        <v>2600</v>
      </c>
      <c r="F35" s="20">
        <f>Sales_Budget!F37*0.65</f>
        <v>2600</v>
      </c>
      <c r="G35" s="20">
        <f>Sales_Budget!G37*0.65</f>
        <v>2600</v>
      </c>
      <c r="H35" s="20">
        <f>Sales_Budget!H37*0.65</f>
        <v>2600</v>
      </c>
      <c r="I35" s="20">
        <f>Sales_Budget!I37*0.65</f>
        <v>2600</v>
      </c>
      <c r="J35" s="20">
        <f>Sales_Budget!J37*0.65</f>
        <v>2600</v>
      </c>
      <c r="K35" s="20">
        <f>Sales_Budget!K37*0.65</f>
        <v>2600</v>
      </c>
      <c r="L35" s="20">
        <f>Sales_Budget!L37*0.65</f>
        <v>2600</v>
      </c>
      <c r="M35" s="20">
        <f>Sales_Budget!M37*0.65</f>
        <v>2600</v>
      </c>
      <c r="N35" s="20">
        <f>Sales_Budget!N37*0.65</f>
        <v>2600</v>
      </c>
      <c r="O35" s="42">
        <v>0</v>
      </c>
      <c r="P35" s="42">
        <v>0</v>
      </c>
      <c r="Q35" s="42">
        <v>0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</row>
    <row r="36" spans="1:26" x14ac:dyDescent="0.3">
      <c r="A36" s="23" t="s">
        <v>10</v>
      </c>
      <c r="B36" s="29">
        <f t="shared" ref="B36:N36" si="8">B5+B9+B13+B17+B21+B25+B29+B33+B35</f>
        <v>89791</v>
      </c>
      <c r="C36" s="29">
        <f t="shared" si="8"/>
        <v>169065</v>
      </c>
      <c r="D36" s="29">
        <f t="shared" si="8"/>
        <v>207024.2</v>
      </c>
      <c r="E36" s="29">
        <f t="shared" si="8"/>
        <v>199015</v>
      </c>
      <c r="F36" s="29">
        <f t="shared" si="8"/>
        <v>163005</v>
      </c>
      <c r="G36" s="29">
        <f t="shared" si="8"/>
        <v>212520</v>
      </c>
      <c r="H36" s="29">
        <f t="shared" si="8"/>
        <v>212230</v>
      </c>
      <c r="I36" s="29">
        <f t="shared" si="8"/>
        <v>193744</v>
      </c>
      <c r="J36" s="29">
        <f t="shared" si="8"/>
        <v>130211</v>
      </c>
      <c r="K36" s="29">
        <f t="shared" si="8"/>
        <v>212044</v>
      </c>
      <c r="L36" s="29">
        <f t="shared" si="8"/>
        <v>298372</v>
      </c>
      <c r="M36" s="29">
        <f t="shared" si="8"/>
        <v>221012</v>
      </c>
      <c r="N36" s="29">
        <f t="shared" si="8"/>
        <v>186246</v>
      </c>
      <c r="O36" s="69">
        <v>0</v>
      </c>
      <c r="P36" s="69">
        <v>0</v>
      </c>
      <c r="Q36" s="69">
        <v>0</v>
      </c>
      <c r="R36" s="69">
        <v>0</v>
      </c>
      <c r="S36" s="69">
        <v>0</v>
      </c>
      <c r="T36" s="69">
        <v>0</v>
      </c>
      <c r="U36" s="69">
        <v>0</v>
      </c>
      <c r="V36" s="69">
        <v>0</v>
      </c>
      <c r="W36" s="69">
        <v>0</v>
      </c>
      <c r="X36" s="69">
        <v>0</v>
      </c>
      <c r="Y36" s="70">
        <v>0</v>
      </c>
      <c r="Z36" s="70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"/>
  <sheetViews>
    <sheetView tabSelected="1" zoomScale="85" zoomScaleNormal="85" workbookViewId="0">
      <selection activeCell="O16" sqref="O16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customWidth="1"/>
  </cols>
  <sheetData>
    <row r="1" spans="1:27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/>
    </row>
    <row r="2" spans="1:27" ht="29" customHeight="1" x14ac:dyDescent="0.3">
      <c r="A2" s="78" t="s">
        <v>49</v>
      </c>
      <c r="B2" s="79">
        <v>170000</v>
      </c>
      <c r="C2" s="79">
        <v>180000</v>
      </c>
      <c r="D2" s="79">
        <v>180000</v>
      </c>
      <c r="E2" s="79">
        <v>180000</v>
      </c>
      <c r="F2" s="79">
        <v>180000</v>
      </c>
      <c r="G2" s="79">
        <v>200000</v>
      </c>
      <c r="H2" s="79">
        <v>200000</v>
      </c>
      <c r="I2" s="79">
        <v>200000</v>
      </c>
      <c r="J2" s="79">
        <v>230000</v>
      </c>
      <c r="K2" s="79">
        <v>230000</v>
      </c>
      <c r="L2" s="79">
        <v>230000</v>
      </c>
      <c r="M2" s="79">
        <v>230000</v>
      </c>
      <c r="N2" s="79">
        <v>270000</v>
      </c>
      <c r="O2" s="79">
        <v>0</v>
      </c>
      <c r="P2" s="79">
        <v>0</v>
      </c>
      <c r="Q2" s="79">
        <v>0</v>
      </c>
      <c r="R2" s="79">
        <v>0</v>
      </c>
      <c r="S2" s="79">
        <v>0</v>
      </c>
      <c r="T2" s="79">
        <v>0</v>
      </c>
      <c r="U2" s="79">
        <v>0</v>
      </c>
      <c r="V2" s="79">
        <v>0</v>
      </c>
      <c r="W2" s="79">
        <v>0</v>
      </c>
      <c r="X2" s="79">
        <v>0</v>
      </c>
      <c r="Y2" s="79">
        <v>0</v>
      </c>
      <c r="Z2" s="79">
        <v>0</v>
      </c>
      <c r="AA2" s="79"/>
    </row>
    <row r="3" spans="1:27" ht="29" customHeight="1" x14ac:dyDescent="0.3">
      <c r="A3" s="78" t="s">
        <v>50</v>
      </c>
      <c r="B3" s="79">
        <v>110000</v>
      </c>
      <c r="C3" s="79">
        <v>110000</v>
      </c>
      <c r="D3" s="79">
        <v>110000</v>
      </c>
      <c r="E3" s="79">
        <v>110000</v>
      </c>
      <c r="F3" s="79">
        <v>150000</v>
      </c>
      <c r="G3" s="79">
        <v>150000</v>
      </c>
      <c r="H3" s="79">
        <v>150000</v>
      </c>
      <c r="I3" s="79">
        <v>150000</v>
      </c>
      <c r="J3" s="79">
        <v>120000</v>
      </c>
      <c r="K3" s="79">
        <v>120000</v>
      </c>
      <c r="L3" s="79">
        <v>150000</v>
      </c>
      <c r="M3" s="79">
        <v>150000</v>
      </c>
      <c r="N3" s="79">
        <v>150000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 s="79">
        <v>0</v>
      </c>
      <c r="Z3" s="79">
        <v>0</v>
      </c>
      <c r="AA3" s="79"/>
    </row>
    <row r="4" spans="1:27" ht="29" customHeight="1" x14ac:dyDescent="0.3">
      <c r="A4" s="78" t="s">
        <v>51</v>
      </c>
      <c r="B4" s="79">
        <v>40000</v>
      </c>
      <c r="C4" s="79">
        <v>40000</v>
      </c>
      <c r="D4" s="79">
        <v>40000</v>
      </c>
      <c r="E4" s="79">
        <v>40000</v>
      </c>
      <c r="F4" s="79">
        <v>40000</v>
      </c>
      <c r="G4" s="79">
        <v>40000</v>
      </c>
      <c r="H4" s="79">
        <v>40000</v>
      </c>
      <c r="I4" s="79">
        <v>10000</v>
      </c>
      <c r="J4" s="79">
        <v>10000</v>
      </c>
      <c r="K4" s="79">
        <v>10000</v>
      </c>
      <c r="L4" s="79">
        <v>10000</v>
      </c>
      <c r="M4" s="79">
        <v>10000</v>
      </c>
      <c r="N4" s="79">
        <v>10000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 s="79">
        <v>0</v>
      </c>
      <c r="Z4" s="79">
        <v>0</v>
      </c>
      <c r="AA4" s="79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1" customWidth="1"/>
    <col min="2" max="2" width="12.88671875" style="1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4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>
        <v>47119</v>
      </c>
      <c r="AB1" s="49">
        <v>47209</v>
      </c>
      <c r="AC1" s="49">
        <v>47300</v>
      </c>
      <c r="AD1" s="49">
        <v>47392</v>
      </c>
    </row>
    <row r="2" spans="1:30" ht="21" customHeight="1" x14ac:dyDescent="0.2">
      <c r="A2" s="81" t="s">
        <v>52</v>
      </c>
      <c r="B2" s="82">
        <v>660000</v>
      </c>
      <c r="C2" s="36">
        <f>B3</f>
        <v>677000</v>
      </c>
      <c r="D2" s="36">
        <f t="shared" ref="D2:N2" si="0">C3</f>
        <v>694000</v>
      </c>
      <c r="E2" s="36">
        <f t="shared" si="0"/>
        <v>711000</v>
      </c>
      <c r="F2" s="36">
        <f t="shared" si="0"/>
        <v>728000</v>
      </c>
      <c r="G2" s="36">
        <f t="shared" si="0"/>
        <v>783000</v>
      </c>
      <c r="H2" s="36">
        <f t="shared" si="0"/>
        <v>838000</v>
      </c>
      <c r="I2" s="36">
        <f t="shared" si="0"/>
        <v>893000</v>
      </c>
      <c r="J2" s="36">
        <f t="shared" si="0"/>
        <v>948000</v>
      </c>
      <c r="K2" s="36">
        <f t="shared" si="0"/>
        <v>965000</v>
      </c>
      <c r="L2" s="36">
        <f t="shared" si="0"/>
        <v>982000</v>
      </c>
      <c r="M2" s="36">
        <f t="shared" si="0"/>
        <v>999000</v>
      </c>
      <c r="N2" s="36">
        <f t="shared" si="0"/>
        <v>1016000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</row>
    <row r="3" spans="1:30" ht="21" customHeight="1" x14ac:dyDescent="0.2">
      <c r="A3" s="81" t="s">
        <v>53</v>
      </c>
      <c r="B3" s="82">
        <f>B2+17000</f>
        <v>677000</v>
      </c>
      <c r="C3" s="82">
        <f t="shared" ref="C3:E3" si="1">C2+17000</f>
        <v>694000</v>
      </c>
      <c r="D3" s="82">
        <f t="shared" si="1"/>
        <v>711000</v>
      </c>
      <c r="E3" s="82">
        <f t="shared" si="1"/>
        <v>728000</v>
      </c>
      <c r="F3" s="82">
        <f>F2+55000</f>
        <v>783000</v>
      </c>
      <c r="G3" s="82">
        <f t="shared" ref="G3:I3" si="2">G2+55000</f>
        <v>838000</v>
      </c>
      <c r="H3" s="82">
        <f t="shared" si="2"/>
        <v>893000</v>
      </c>
      <c r="I3" s="82">
        <f t="shared" si="2"/>
        <v>948000</v>
      </c>
      <c r="J3" s="82">
        <f>J2+17000</f>
        <v>965000</v>
      </c>
      <c r="K3" s="82">
        <f t="shared" ref="K3:N3" si="3">K2+17000</f>
        <v>982000</v>
      </c>
      <c r="L3" s="82">
        <f t="shared" si="3"/>
        <v>999000</v>
      </c>
      <c r="M3" s="82">
        <f t="shared" si="3"/>
        <v>1016000</v>
      </c>
      <c r="N3" s="82">
        <f t="shared" si="3"/>
        <v>1033000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</row>
    <row r="4" spans="1:30" ht="21" customHeight="1" x14ac:dyDescent="0.2">
      <c r="A4" s="81" t="s">
        <v>54</v>
      </c>
      <c r="B4" s="82">
        <v>200000</v>
      </c>
      <c r="C4" s="36">
        <f>B5</f>
        <v>197000</v>
      </c>
      <c r="D4" s="36">
        <f t="shared" ref="D4:N4" si="4">C5</f>
        <v>194000</v>
      </c>
      <c r="E4" s="36">
        <f t="shared" si="4"/>
        <v>191000</v>
      </c>
      <c r="F4" s="36">
        <f t="shared" si="4"/>
        <v>188000</v>
      </c>
      <c r="G4" s="36">
        <f t="shared" si="4"/>
        <v>185000</v>
      </c>
      <c r="H4" s="36">
        <f t="shared" si="4"/>
        <v>182000</v>
      </c>
      <c r="I4" s="36">
        <f t="shared" si="4"/>
        <v>179000</v>
      </c>
      <c r="J4" s="36">
        <f t="shared" si="4"/>
        <v>176000</v>
      </c>
      <c r="K4" s="36">
        <f t="shared" si="4"/>
        <v>173000</v>
      </c>
      <c r="L4" s="36">
        <f t="shared" si="4"/>
        <v>170000</v>
      </c>
      <c r="M4" s="36">
        <f t="shared" si="4"/>
        <v>167000</v>
      </c>
      <c r="N4" s="36">
        <f t="shared" si="4"/>
        <v>164000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</row>
    <row r="5" spans="1:30" ht="21" customHeight="1" x14ac:dyDescent="0.2">
      <c r="A5" s="81" t="s">
        <v>55</v>
      </c>
      <c r="B5" s="82">
        <v>197000</v>
      </c>
      <c r="C5" s="82">
        <f>C4-3000</f>
        <v>194000</v>
      </c>
      <c r="D5" s="82">
        <f t="shared" ref="D5:N5" si="5">D4-3000</f>
        <v>191000</v>
      </c>
      <c r="E5" s="82">
        <f t="shared" si="5"/>
        <v>188000</v>
      </c>
      <c r="F5" s="82">
        <f t="shared" si="5"/>
        <v>185000</v>
      </c>
      <c r="G5" s="82">
        <f t="shared" si="5"/>
        <v>182000</v>
      </c>
      <c r="H5" s="82">
        <f t="shared" si="5"/>
        <v>179000</v>
      </c>
      <c r="I5" s="82">
        <f t="shared" si="5"/>
        <v>176000</v>
      </c>
      <c r="J5" s="82">
        <f t="shared" si="5"/>
        <v>173000</v>
      </c>
      <c r="K5" s="82">
        <f t="shared" si="5"/>
        <v>170000</v>
      </c>
      <c r="L5" s="82">
        <f t="shared" si="5"/>
        <v>167000</v>
      </c>
      <c r="M5" s="82">
        <f t="shared" si="5"/>
        <v>164000</v>
      </c>
      <c r="N5" s="82">
        <f t="shared" si="5"/>
        <v>161000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</row>
    <row r="6" spans="1:30" ht="21" customHeight="1" x14ac:dyDescent="0.2">
      <c r="A6" s="81" t="s">
        <v>57</v>
      </c>
      <c r="B6" s="82">
        <v>15000</v>
      </c>
      <c r="C6" s="82">
        <v>15000</v>
      </c>
      <c r="D6" s="82">
        <v>15000</v>
      </c>
      <c r="E6" s="82">
        <v>15000</v>
      </c>
      <c r="F6" s="82">
        <v>15000</v>
      </c>
      <c r="G6" s="82">
        <v>15000</v>
      </c>
      <c r="H6" s="82">
        <v>15000</v>
      </c>
      <c r="I6" s="82">
        <v>15000</v>
      </c>
      <c r="J6" s="82">
        <v>15000</v>
      </c>
      <c r="K6" s="82">
        <v>15000</v>
      </c>
      <c r="L6" s="82">
        <v>15000</v>
      </c>
      <c r="M6" s="82">
        <v>15000</v>
      </c>
      <c r="N6" s="82">
        <v>15000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21" customHeight="1" x14ac:dyDescent="0.2">
      <c r="A7" s="16" t="s">
        <v>56</v>
      </c>
      <c r="B7" s="83">
        <f>B3+B5-B2-B4</f>
        <v>14000</v>
      </c>
      <c r="C7" s="83">
        <f t="shared" ref="C7:N7" si="6">C3+C5-C2-C4</f>
        <v>14000</v>
      </c>
      <c r="D7" s="83">
        <f t="shared" si="6"/>
        <v>14000</v>
      </c>
      <c r="E7" s="83">
        <f t="shared" si="6"/>
        <v>14000</v>
      </c>
      <c r="F7" s="83">
        <f t="shared" si="6"/>
        <v>52000</v>
      </c>
      <c r="G7" s="83">
        <f t="shared" si="6"/>
        <v>52000</v>
      </c>
      <c r="H7" s="83">
        <f t="shared" si="6"/>
        <v>52000</v>
      </c>
      <c r="I7" s="83">
        <f t="shared" si="6"/>
        <v>52000</v>
      </c>
      <c r="J7" s="83">
        <f t="shared" si="6"/>
        <v>14000</v>
      </c>
      <c r="K7" s="83">
        <f t="shared" si="6"/>
        <v>14000</v>
      </c>
      <c r="L7" s="83">
        <f t="shared" si="6"/>
        <v>14000</v>
      </c>
      <c r="M7" s="83">
        <f t="shared" si="6"/>
        <v>14000</v>
      </c>
      <c r="N7" s="83">
        <f t="shared" si="6"/>
        <v>14000</v>
      </c>
      <c r="O7" s="55">
        <f t="shared" ref="O7" si="7">O3+O5-O2-O4</f>
        <v>0</v>
      </c>
      <c r="P7" s="55">
        <f t="shared" ref="P7" si="8">P3+P5-P2-P4</f>
        <v>0</v>
      </c>
      <c r="Q7" s="55">
        <f t="shared" ref="Q7" si="9">Q3+Q5-Q2-Q4</f>
        <v>0</v>
      </c>
      <c r="R7" s="55">
        <f t="shared" ref="R7" si="10">R3+R5-R2-R4</f>
        <v>0</v>
      </c>
      <c r="S7" s="55">
        <f t="shared" ref="S7" si="11">S3+S5-S2-S4</f>
        <v>0</v>
      </c>
      <c r="T7" s="55">
        <f t="shared" ref="T7" si="12">T3+T5-T2-T4</f>
        <v>0</v>
      </c>
      <c r="U7" s="55">
        <f t="shared" ref="U7" si="13">U3+U5-U2-U4</f>
        <v>0</v>
      </c>
      <c r="V7" s="55">
        <f t="shared" ref="V7" si="14">V3+V5-V2-V4</f>
        <v>0</v>
      </c>
      <c r="W7" s="55">
        <f t="shared" ref="W7" si="15">W3+W5-W2-W4</f>
        <v>0</v>
      </c>
      <c r="X7" s="55">
        <f t="shared" ref="X7" si="16">X3+X5-X2-X4</f>
        <v>0</v>
      </c>
      <c r="Y7" s="55">
        <f t="shared" ref="Y7" si="17">Y3+Y5-Y2-Y4</f>
        <v>0</v>
      </c>
      <c r="Z7" s="55">
        <f t="shared" ref="Z7" si="18">Z3+Z5-Z2-Z4</f>
        <v>0</v>
      </c>
      <c r="AA7" s="55">
        <f t="shared" ref="AA7" si="19">AA3+AA5-AA2-AA4</f>
        <v>0</v>
      </c>
      <c r="AB7" s="55">
        <f t="shared" ref="AB7" si="20">AB3+AB5-AB2-AB4</f>
        <v>0</v>
      </c>
      <c r="AC7" s="55">
        <f t="shared" ref="AC7" si="21">AC3+AC5-AC2-AC4</f>
        <v>0</v>
      </c>
      <c r="AD7" s="55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K5" sqref="K5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">
      <c r="A2" s="10" t="s">
        <v>61</v>
      </c>
      <c r="B2" s="37">
        <v>0</v>
      </c>
      <c r="C2" s="37">
        <f>B5</f>
        <v>0</v>
      </c>
      <c r="D2" s="37">
        <f t="shared" ref="D2:Z2" si="0">C5</f>
        <v>0</v>
      </c>
      <c r="E2" s="37">
        <f t="shared" si="0"/>
        <v>0</v>
      </c>
      <c r="F2" s="37">
        <f t="shared" si="0"/>
        <v>0</v>
      </c>
      <c r="G2" s="37">
        <f t="shared" si="0"/>
        <v>0</v>
      </c>
      <c r="H2" s="37">
        <f t="shared" si="0"/>
        <v>7000</v>
      </c>
      <c r="I2" s="37">
        <f t="shared" si="0"/>
        <v>17000</v>
      </c>
      <c r="J2" s="37">
        <f t="shared" si="0"/>
        <v>53000</v>
      </c>
      <c r="K2" s="37">
        <f t="shared" si="0"/>
        <v>48000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f t="shared" si="0"/>
        <v>0</v>
      </c>
      <c r="P2" s="37">
        <f t="shared" si="0"/>
        <v>0</v>
      </c>
      <c r="Q2" s="37">
        <f t="shared" si="0"/>
        <v>0</v>
      </c>
      <c r="R2" s="37">
        <f t="shared" si="0"/>
        <v>0</v>
      </c>
      <c r="S2" s="37">
        <f t="shared" si="0"/>
        <v>0</v>
      </c>
      <c r="T2" s="37">
        <f t="shared" si="0"/>
        <v>0</v>
      </c>
      <c r="U2" s="37">
        <f t="shared" si="0"/>
        <v>0</v>
      </c>
      <c r="V2" s="37">
        <f t="shared" si="0"/>
        <v>0</v>
      </c>
      <c r="W2" s="37">
        <f t="shared" si="0"/>
        <v>0</v>
      </c>
      <c r="X2" s="37">
        <f t="shared" si="0"/>
        <v>0</v>
      </c>
      <c r="Y2" s="37">
        <f t="shared" si="0"/>
        <v>0</v>
      </c>
      <c r="Z2" s="37">
        <f t="shared" si="0"/>
        <v>0</v>
      </c>
    </row>
    <row r="3" spans="1:26" x14ac:dyDescent="0.2">
      <c r="A3" s="10" t="s">
        <v>62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7000</v>
      </c>
      <c r="H3" s="37">
        <v>10000</v>
      </c>
      <c r="I3" s="37">
        <v>36000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</row>
    <row r="4" spans="1:26" x14ac:dyDescent="0.2">
      <c r="A4" s="10" t="s">
        <v>58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5000</v>
      </c>
      <c r="K4" s="37">
        <v>48000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</row>
    <row r="5" spans="1:26" x14ac:dyDescent="0.2">
      <c r="A5" s="10" t="s">
        <v>63</v>
      </c>
      <c r="B5" s="37">
        <f>B2+B3-B4</f>
        <v>0</v>
      </c>
      <c r="C5" s="37">
        <f t="shared" ref="C5:Z5" si="1">C2+C3-C4</f>
        <v>0</v>
      </c>
      <c r="D5" s="37">
        <f t="shared" si="1"/>
        <v>0</v>
      </c>
      <c r="E5" s="37">
        <f t="shared" si="1"/>
        <v>0</v>
      </c>
      <c r="F5" s="37">
        <f t="shared" si="1"/>
        <v>0</v>
      </c>
      <c r="G5" s="37">
        <f t="shared" si="1"/>
        <v>7000</v>
      </c>
      <c r="H5" s="37">
        <f t="shared" si="1"/>
        <v>17000</v>
      </c>
      <c r="I5" s="37">
        <f t="shared" si="1"/>
        <v>53000</v>
      </c>
      <c r="J5" s="37">
        <f t="shared" si="1"/>
        <v>48000</v>
      </c>
      <c r="K5" s="37">
        <f t="shared" si="1"/>
        <v>0</v>
      </c>
      <c r="L5" s="37">
        <f t="shared" si="1"/>
        <v>0</v>
      </c>
      <c r="M5" s="37">
        <f t="shared" si="1"/>
        <v>0</v>
      </c>
      <c r="N5" s="37">
        <f t="shared" si="1"/>
        <v>0</v>
      </c>
      <c r="O5" s="37">
        <f t="shared" si="1"/>
        <v>0</v>
      </c>
      <c r="P5" s="37">
        <f t="shared" si="1"/>
        <v>0</v>
      </c>
      <c r="Q5" s="37">
        <f t="shared" si="1"/>
        <v>0</v>
      </c>
      <c r="R5" s="37">
        <f t="shared" si="1"/>
        <v>0</v>
      </c>
      <c r="S5" s="37">
        <f t="shared" si="1"/>
        <v>0</v>
      </c>
      <c r="T5" s="37">
        <f t="shared" si="1"/>
        <v>0</v>
      </c>
      <c r="U5" s="37">
        <f t="shared" si="1"/>
        <v>0</v>
      </c>
      <c r="V5" s="37">
        <f t="shared" si="1"/>
        <v>0</v>
      </c>
      <c r="W5" s="37">
        <f t="shared" si="1"/>
        <v>0</v>
      </c>
      <c r="X5" s="37">
        <f t="shared" si="1"/>
        <v>0</v>
      </c>
      <c r="Y5" s="37">
        <f t="shared" si="1"/>
        <v>0</v>
      </c>
      <c r="Z5" s="37">
        <f t="shared" si="1"/>
        <v>0</v>
      </c>
    </row>
    <row r="6" spans="1:26" x14ac:dyDescent="0.2">
      <c r="A6" s="10" t="s">
        <v>59</v>
      </c>
      <c r="B6" s="85">
        <v>0.19</v>
      </c>
      <c r="C6" s="85">
        <v>0.19</v>
      </c>
      <c r="D6" s="85">
        <v>0.19</v>
      </c>
      <c r="E6" s="85">
        <v>0.19</v>
      </c>
      <c r="F6" s="85">
        <v>0.19</v>
      </c>
      <c r="G6" s="85">
        <v>0.19</v>
      </c>
      <c r="H6" s="85">
        <v>0.19</v>
      </c>
      <c r="I6" s="85">
        <v>0.19</v>
      </c>
      <c r="J6" s="85">
        <v>0.19</v>
      </c>
      <c r="K6" s="85">
        <v>0.19</v>
      </c>
      <c r="L6" s="85">
        <v>0.19</v>
      </c>
      <c r="M6" s="85">
        <v>0.19</v>
      </c>
      <c r="N6" s="85">
        <v>0.19</v>
      </c>
      <c r="O6" s="85">
        <v>0.19</v>
      </c>
      <c r="P6" s="85">
        <v>0.19</v>
      </c>
      <c r="Q6" s="85">
        <v>0.19</v>
      </c>
      <c r="R6" s="85">
        <v>0.19</v>
      </c>
      <c r="S6" s="85">
        <v>0.19</v>
      </c>
      <c r="T6" s="85">
        <v>0.19</v>
      </c>
      <c r="U6" s="85">
        <v>0.19</v>
      </c>
      <c r="V6" s="85">
        <v>0.19</v>
      </c>
      <c r="W6" s="85">
        <v>0.19</v>
      </c>
      <c r="X6" s="85">
        <v>0.19</v>
      </c>
      <c r="Y6" s="85">
        <v>0.19</v>
      </c>
      <c r="Z6" s="85">
        <v>0.19</v>
      </c>
    </row>
    <row r="7" spans="1:26" x14ac:dyDescent="0.2">
      <c r="A7" s="10" t="s">
        <v>60</v>
      </c>
      <c r="B7" s="37">
        <f>(B2+B5)*B6/2</f>
        <v>0</v>
      </c>
      <c r="C7" s="37">
        <f t="shared" ref="C7:F7" si="2">(C2+C5)*C6/2</f>
        <v>0</v>
      </c>
      <c r="D7" s="37">
        <f t="shared" si="2"/>
        <v>0</v>
      </c>
      <c r="E7" s="37">
        <f t="shared" si="2"/>
        <v>0</v>
      </c>
      <c r="F7" s="37">
        <f t="shared" si="2"/>
        <v>0</v>
      </c>
      <c r="G7" s="37">
        <f t="shared" ref="G7" si="3">(G2+G5)*G6/2</f>
        <v>665</v>
      </c>
      <c r="H7" s="37">
        <f t="shared" ref="H7" si="4">(H2+H5)*H6/2</f>
        <v>2280</v>
      </c>
      <c r="I7" s="37">
        <f t="shared" ref="I7:J7" si="5">(I2+I5)*I6/2</f>
        <v>6650</v>
      </c>
      <c r="J7" s="37">
        <f t="shared" si="5"/>
        <v>9595</v>
      </c>
      <c r="K7" s="37">
        <f t="shared" ref="K7" si="6">(K2+K5)*K6/2</f>
        <v>4560</v>
      </c>
      <c r="L7" s="37">
        <f t="shared" ref="L7" si="7">(L2+L5)*L6/2</f>
        <v>0</v>
      </c>
      <c r="M7" s="37">
        <f t="shared" ref="M7:N7" si="8">(M2+M5)*M6/2</f>
        <v>0</v>
      </c>
      <c r="N7" s="37">
        <f t="shared" si="8"/>
        <v>0</v>
      </c>
      <c r="O7" s="37">
        <f t="shared" ref="O7" si="9">(O2+O5)*O6/2</f>
        <v>0</v>
      </c>
      <c r="P7" s="37">
        <f t="shared" ref="P7" si="10">(P2+P5)*P6/2</f>
        <v>0</v>
      </c>
      <c r="Q7" s="37">
        <f t="shared" ref="Q7:R7" si="11">(Q2+Q5)*Q6/2</f>
        <v>0</v>
      </c>
      <c r="R7" s="37">
        <f t="shared" si="11"/>
        <v>0</v>
      </c>
      <c r="S7" s="37">
        <f t="shared" ref="S7" si="12">(S2+S5)*S6/2</f>
        <v>0</v>
      </c>
      <c r="T7" s="37">
        <f t="shared" ref="T7" si="13">(T2+T5)*T6/2</f>
        <v>0</v>
      </c>
      <c r="U7" s="37">
        <f t="shared" ref="U7:V7" si="14">(U2+U5)*U6/2</f>
        <v>0</v>
      </c>
      <c r="V7" s="37">
        <f t="shared" si="14"/>
        <v>0</v>
      </c>
      <c r="W7" s="37">
        <f t="shared" ref="W7" si="15">(W2+W5)*W6/2</f>
        <v>0</v>
      </c>
      <c r="X7" s="37">
        <f t="shared" ref="X7" si="16">(X2+X5)*X6/2</f>
        <v>0</v>
      </c>
      <c r="Y7" s="37">
        <f t="shared" ref="Y7:Z7" si="17">(Y2+Y5)*Y6/2</f>
        <v>0</v>
      </c>
      <c r="Z7" s="37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topLeftCell="B1" workbookViewId="0">
      <selection activeCell="F26" sqref="F26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64</v>
      </c>
      <c r="B1" s="1" t="s">
        <v>65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</row>
    <row r="2" spans="1:27" x14ac:dyDescent="0.2">
      <c r="A2" s="10" t="s">
        <v>22</v>
      </c>
      <c r="B2" s="10" t="s">
        <v>66</v>
      </c>
      <c r="C2" s="37">
        <v>1250</v>
      </c>
      <c r="D2" s="37">
        <v>1250</v>
      </c>
      <c r="E2" s="37">
        <v>1250</v>
      </c>
      <c r="F2" s="37">
        <v>1250</v>
      </c>
      <c r="G2" s="37">
        <v>1250</v>
      </c>
      <c r="H2" s="37">
        <v>1400</v>
      </c>
      <c r="I2" s="37">
        <v>1400</v>
      </c>
      <c r="J2" s="37">
        <v>1400</v>
      </c>
      <c r="K2" s="37">
        <v>1400</v>
      </c>
      <c r="L2" s="37">
        <v>1700</v>
      </c>
      <c r="M2" s="37">
        <v>1700</v>
      </c>
      <c r="N2" s="37">
        <v>1700</v>
      </c>
      <c r="O2" s="37">
        <v>1700</v>
      </c>
      <c r="P2" s="37">
        <v>0</v>
      </c>
      <c r="Q2" s="37">
        <f t="shared" ref="Q2:AA2" ca="1" si="0">P2*(RAND()*(1.04-1.025)+1.025)</f>
        <v>0</v>
      </c>
      <c r="R2" s="37">
        <f t="shared" ca="1" si="0"/>
        <v>0</v>
      </c>
      <c r="S2" s="37">
        <f t="shared" ca="1" si="0"/>
        <v>0</v>
      </c>
      <c r="T2" s="37">
        <f t="shared" ca="1" si="0"/>
        <v>0</v>
      </c>
      <c r="U2" s="37">
        <f t="shared" ca="1" si="0"/>
        <v>0</v>
      </c>
      <c r="V2" s="37">
        <f t="shared" ca="1" si="0"/>
        <v>0</v>
      </c>
      <c r="W2" s="37">
        <f t="shared" ca="1" si="0"/>
        <v>0</v>
      </c>
      <c r="X2" s="37">
        <f t="shared" ca="1" si="0"/>
        <v>0</v>
      </c>
      <c r="Y2" s="37">
        <f t="shared" ca="1" si="0"/>
        <v>0</v>
      </c>
      <c r="Z2" s="37">
        <f t="shared" ca="1" si="0"/>
        <v>0</v>
      </c>
      <c r="AA2" s="37">
        <f t="shared" ca="1" si="0"/>
        <v>0</v>
      </c>
    </row>
    <row r="3" spans="1:27" x14ac:dyDescent="0.2">
      <c r="A3" s="10" t="s">
        <v>22</v>
      </c>
      <c r="B3" s="10" t="s">
        <v>67</v>
      </c>
      <c r="C3" s="37">
        <v>240</v>
      </c>
      <c r="D3" s="37">
        <v>240</v>
      </c>
      <c r="E3" s="37">
        <v>240</v>
      </c>
      <c r="F3" s="37">
        <v>240</v>
      </c>
      <c r="G3" s="37">
        <v>240</v>
      </c>
      <c r="H3" s="37">
        <v>270</v>
      </c>
      <c r="I3" s="37">
        <v>270</v>
      </c>
      <c r="J3" s="37">
        <v>270</v>
      </c>
      <c r="K3" s="37">
        <v>270</v>
      </c>
      <c r="L3" s="37">
        <v>270</v>
      </c>
      <c r="M3" s="37">
        <v>270</v>
      </c>
      <c r="N3" s="37">
        <v>270</v>
      </c>
      <c r="O3" s="37">
        <v>270</v>
      </c>
      <c r="P3" s="37">
        <v>0</v>
      </c>
      <c r="Q3" s="37">
        <f t="shared" ref="Q3:AA4" ca="1" si="1">P3*(RAND()*(1.15-0.93)+0.93)</f>
        <v>0</v>
      </c>
      <c r="R3" s="37">
        <f t="shared" ca="1" si="1"/>
        <v>0</v>
      </c>
      <c r="S3" s="37">
        <f t="shared" ca="1" si="1"/>
        <v>0</v>
      </c>
      <c r="T3" s="37">
        <f t="shared" ca="1" si="1"/>
        <v>0</v>
      </c>
      <c r="U3" s="37">
        <f t="shared" ca="1" si="1"/>
        <v>0</v>
      </c>
      <c r="V3" s="37">
        <f t="shared" ca="1" si="1"/>
        <v>0</v>
      </c>
      <c r="W3" s="37">
        <f t="shared" ca="1" si="1"/>
        <v>0</v>
      </c>
      <c r="X3" s="37">
        <f t="shared" ca="1" si="1"/>
        <v>0</v>
      </c>
      <c r="Y3" s="37">
        <f t="shared" ca="1" si="1"/>
        <v>0</v>
      </c>
      <c r="Z3" s="37">
        <f t="shared" ca="1" si="1"/>
        <v>0</v>
      </c>
      <c r="AA3" s="37">
        <f t="shared" ca="1" si="1"/>
        <v>0</v>
      </c>
    </row>
    <row r="4" spans="1:27" x14ac:dyDescent="0.2">
      <c r="A4" s="10" t="s">
        <v>22</v>
      </c>
      <c r="B4" s="10" t="s">
        <v>68</v>
      </c>
      <c r="C4" s="37">
        <v>3100</v>
      </c>
      <c r="D4" s="37">
        <v>3100</v>
      </c>
      <c r="E4" s="37">
        <v>3100</v>
      </c>
      <c r="F4" s="37">
        <v>3100</v>
      </c>
      <c r="G4" s="37">
        <v>3100</v>
      </c>
      <c r="H4" s="37">
        <v>4500</v>
      </c>
      <c r="I4" s="37">
        <v>4500</v>
      </c>
      <c r="J4" s="37">
        <v>4500</v>
      </c>
      <c r="K4" s="37">
        <v>4500</v>
      </c>
      <c r="L4" s="37">
        <v>5300</v>
      </c>
      <c r="M4" s="37">
        <v>5900</v>
      </c>
      <c r="N4" s="37">
        <v>6200</v>
      </c>
      <c r="O4" s="37">
        <v>6900</v>
      </c>
      <c r="P4" s="37">
        <v>0</v>
      </c>
      <c r="Q4" s="37">
        <f t="shared" ca="1" si="1"/>
        <v>0</v>
      </c>
      <c r="R4" s="37">
        <f t="shared" ca="1" si="1"/>
        <v>0</v>
      </c>
      <c r="S4" s="37">
        <f t="shared" ca="1" si="1"/>
        <v>0</v>
      </c>
      <c r="T4" s="37">
        <f t="shared" ca="1" si="1"/>
        <v>0</v>
      </c>
      <c r="U4" s="37">
        <f t="shared" ca="1" si="1"/>
        <v>0</v>
      </c>
      <c r="V4" s="37">
        <f t="shared" ca="1" si="1"/>
        <v>0</v>
      </c>
      <c r="W4" s="37">
        <f t="shared" ca="1" si="1"/>
        <v>0</v>
      </c>
      <c r="X4" s="37">
        <f t="shared" ca="1" si="1"/>
        <v>0</v>
      </c>
      <c r="Y4" s="37">
        <f t="shared" ca="1" si="1"/>
        <v>0</v>
      </c>
      <c r="Z4" s="37">
        <f t="shared" ca="1" si="1"/>
        <v>0</v>
      </c>
      <c r="AA4" s="37">
        <f t="shared" ca="1" si="1"/>
        <v>0</v>
      </c>
    </row>
    <row r="5" spans="1:27" x14ac:dyDescent="0.2">
      <c r="A5" s="10" t="s">
        <v>22</v>
      </c>
      <c r="B5" s="10" t="s">
        <v>69</v>
      </c>
      <c r="C5" s="37">
        <v>140</v>
      </c>
      <c r="D5" s="37">
        <v>140</v>
      </c>
      <c r="E5" s="37">
        <v>140</v>
      </c>
      <c r="F5" s="37">
        <v>140</v>
      </c>
      <c r="G5" s="37">
        <v>140</v>
      </c>
      <c r="H5" s="37">
        <v>140</v>
      </c>
      <c r="I5" s="37">
        <v>140</v>
      </c>
      <c r="J5" s="37">
        <v>140</v>
      </c>
      <c r="K5" s="37">
        <v>140</v>
      </c>
      <c r="L5" s="37">
        <v>160</v>
      </c>
      <c r="M5" s="37">
        <v>160.55219753626932</v>
      </c>
      <c r="N5" s="37">
        <v>160.55219753626932</v>
      </c>
      <c r="O5" s="37">
        <v>160.55219753626932</v>
      </c>
      <c r="P5" s="37">
        <v>0</v>
      </c>
      <c r="Q5" s="37">
        <f t="shared" ref="Q5:AA5" ca="1" si="2">P5*(RAND()*(1.05-1.1)+1.05)</f>
        <v>0</v>
      </c>
      <c r="R5" s="37">
        <f t="shared" ca="1" si="2"/>
        <v>0</v>
      </c>
      <c r="S5" s="37">
        <f t="shared" ca="1" si="2"/>
        <v>0</v>
      </c>
      <c r="T5" s="37">
        <f t="shared" ca="1" si="2"/>
        <v>0</v>
      </c>
      <c r="U5" s="37">
        <f t="shared" ca="1" si="2"/>
        <v>0</v>
      </c>
      <c r="V5" s="37">
        <f t="shared" ca="1" si="2"/>
        <v>0</v>
      </c>
      <c r="W5" s="37">
        <f t="shared" ca="1" si="2"/>
        <v>0</v>
      </c>
      <c r="X5" s="37">
        <f t="shared" ca="1" si="2"/>
        <v>0</v>
      </c>
      <c r="Y5" s="37">
        <f t="shared" ca="1" si="2"/>
        <v>0</v>
      </c>
      <c r="Z5" s="37">
        <f t="shared" ca="1" si="2"/>
        <v>0</v>
      </c>
      <c r="AA5" s="37">
        <f t="shared" ca="1" si="2"/>
        <v>0</v>
      </c>
    </row>
    <row r="6" spans="1:27" x14ac:dyDescent="0.2">
      <c r="A6" s="10" t="s">
        <v>22</v>
      </c>
      <c r="B6" s="10" t="s">
        <v>70</v>
      </c>
      <c r="C6" s="37">
        <v>450</v>
      </c>
      <c r="D6" s="37">
        <v>450</v>
      </c>
      <c r="E6" s="37">
        <v>450</v>
      </c>
      <c r="F6" s="37">
        <v>450</v>
      </c>
      <c r="G6" s="37">
        <v>450</v>
      </c>
      <c r="H6" s="37">
        <v>550</v>
      </c>
      <c r="I6" s="37">
        <v>550</v>
      </c>
      <c r="J6" s="37">
        <v>550</v>
      </c>
      <c r="K6" s="37">
        <v>550</v>
      </c>
      <c r="L6" s="37">
        <v>600</v>
      </c>
      <c r="M6" s="37">
        <v>600</v>
      </c>
      <c r="N6" s="37">
        <v>600</v>
      </c>
      <c r="O6" s="37">
        <v>600</v>
      </c>
      <c r="P6" s="37">
        <v>0</v>
      </c>
      <c r="Q6" s="37">
        <f t="shared" ref="Q6:AA6" ca="1" si="3">P6*(RAND()*(1.05-1.01)+1.01)</f>
        <v>0</v>
      </c>
      <c r="R6" s="37">
        <f t="shared" ca="1" si="3"/>
        <v>0</v>
      </c>
      <c r="S6" s="37">
        <f t="shared" ca="1" si="3"/>
        <v>0</v>
      </c>
      <c r="T6" s="37">
        <f t="shared" ca="1" si="3"/>
        <v>0</v>
      </c>
      <c r="U6" s="37">
        <f t="shared" ca="1" si="3"/>
        <v>0</v>
      </c>
      <c r="V6" s="37">
        <f t="shared" ca="1" si="3"/>
        <v>0</v>
      </c>
      <c r="W6" s="37">
        <f t="shared" ca="1" si="3"/>
        <v>0</v>
      </c>
      <c r="X6" s="37">
        <f t="shared" ca="1" si="3"/>
        <v>0</v>
      </c>
      <c r="Y6" s="37">
        <f t="shared" ca="1" si="3"/>
        <v>0</v>
      </c>
      <c r="Z6" s="37">
        <f t="shared" ca="1" si="3"/>
        <v>0</v>
      </c>
      <c r="AA6" s="37">
        <f t="shared" ca="1" si="3"/>
        <v>0</v>
      </c>
    </row>
    <row r="7" spans="1:27" x14ac:dyDescent="0.2">
      <c r="A7" s="10" t="s">
        <v>22</v>
      </c>
      <c r="B7" s="10" t="s">
        <v>71</v>
      </c>
      <c r="C7" s="37">
        <v>64.12</v>
      </c>
      <c r="D7" s="37">
        <v>64.12</v>
      </c>
      <c r="E7" s="37">
        <v>64.12</v>
      </c>
      <c r="F7" s="37">
        <v>64.12</v>
      </c>
      <c r="G7" s="37">
        <v>64.12</v>
      </c>
      <c r="H7" s="37">
        <v>64.12</v>
      </c>
      <c r="I7" s="37">
        <v>64.12</v>
      </c>
      <c r="J7" s="37">
        <v>64.12</v>
      </c>
      <c r="K7" s="37">
        <v>64.12</v>
      </c>
      <c r="L7" s="37">
        <v>64.12</v>
      </c>
      <c r="M7" s="37">
        <v>64.12</v>
      </c>
      <c r="N7" s="37">
        <v>64.12</v>
      </c>
      <c r="O7" s="37">
        <v>64.12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</row>
    <row r="8" spans="1:27" x14ac:dyDescent="0.2">
      <c r="A8" s="10" t="s">
        <v>23</v>
      </c>
      <c r="B8" s="10" t="s">
        <v>66</v>
      </c>
      <c r="C8" s="37">
        <v>650</v>
      </c>
      <c r="D8" s="37">
        <v>650</v>
      </c>
      <c r="E8" s="37">
        <v>650</v>
      </c>
      <c r="F8" s="37">
        <v>650</v>
      </c>
      <c r="G8" s="37">
        <v>650</v>
      </c>
      <c r="H8" s="37">
        <v>750</v>
      </c>
      <c r="I8" s="37">
        <v>750</v>
      </c>
      <c r="J8" s="37">
        <v>750</v>
      </c>
      <c r="K8" s="37">
        <v>750</v>
      </c>
      <c r="L8" s="37">
        <v>830</v>
      </c>
      <c r="M8" s="37">
        <v>830</v>
      </c>
      <c r="N8" s="37">
        <v>830</v>
      </c>
      <c r="O8" s="37">
        <v>830</v>
      </c>
      <c r="P8" s="37">
        <v>0</v>
      </c>
      <c r="Q8" s="37">
        <f t="shared" ref="Q8:AA8" ca="1" si="4">P8*(RAND()*(1.04-1.025)+1.025)</f>
        <v>0</v>
      </c>
      <c r="R8" s="37">
        <f t="shared" ca="1" si="4"/>
        <v>0</v>
      </c>
      <c r="S8" s="37">
        <f t="shared" ca="1" si="4"/>
        <v>0</v>
      </c>
      <c r="T8" s="37">
        <f t="shared" ca="1" si="4"/>
        <v>0</v>
      </c>
      <c r="U8" s="37">
        <f t="shared" ca="1" si="4"/>
        <v>0</v>
      </c>
      <c r="V8" s="37">
        <f t="shared" ca="1" si="4"/>
        <v>0</v>
      </c>
      <c r="W8" s="37">
        <f t="shared" ca="1" si="4"/>
        <v>0</v>
      </c>
      <c r="X8" s="37">
        <f t="shared" ca="1" si="4"/>
        <v>0</v>
      </c>
      <c r="Y8" s="37">
        <f t="shared" ca="1" si="4"/>
        <v>0</v>
      </c>
      <c r="Z8" s="37">
        <f t="shared" ca="1" si="4"/>
        <v>0</v>
      </c>
      <c r="AA8" s="37">
        <f t="shared" ca="1" si="4"/>
        <v>0</v>
      </c>
    </row>
    <row r="9" spans="1:27" x14ac:dyDescent="0.2">
      <c r="A9" s="10" t="s">
        <v>23</v>
      </c>
      <c r="B9" s="10" t="s">
        <v>67</v>
      </c>
      <c r="C9" s="37">
        <f>'Cash Flow Statement_Budget'!B3*0.003</f>
        <v>385.80014922061724</v>
      </c>
      <c r="D9" s="37">
        <v>733.68749605800008</v>
      </c>
      <c r="E9" s="37">
        <v>965.50834941599987</v>
      </c>
      <c r="F9" s="37">
        <v>755.10175226399997</v>
      </c>
      <c r="G9" s="37">
        <v>648.81721488000017</v>
      </c>
      <c r="H9" s="37">
        <v>866.55734519999999</v>
      </c>
      <c r="I9" s="37">
        <v>957.69059879999998</v>
      </c>
      <c r="J9" s="37">
        <v>828.30601379999996</v>
      </c>
      <c r="K9" s="37">
        <v>608.79067508555295</v>
      </c>
      <c r="L9" s="37">
        <v>977.54154885360003</v>
      </c>
      <c r="M9" s="37">
        <v>1315.0039020013139</v>
      </c>
      <c r="N9" s="37">
        <v>856.92771477797896</v>
      </c>
      <c r="O9" s="37">
        <v>772.57751519999999</v>
      </c>
      <c r="P9" s="37">
        <f>'[1]Cash Flow Statement_Actual'!O3*0.003</f>
        <v>0</v>
      </c>
      <c r="Q9" s="37">
        <f>'[1]Cash Flow Statement_Actual'!P3*0.003</f>
        <v>0</v>
      </c>
      <c r="R9" s="37">
        <f>'[1]Cash Flow Statement_Actual'!Q3*0.003</f>
        <v>0</v>
      </c>
      <c r="S9" s="37">
        <f>'[1]Cash Flow Statement_Actual'!R3*0.003</f>
        <v>0</v>
      </c>
      <c r="T9" s="37">
        <f>'[1]Cash Flow Statement_Actual'!S3*0.003</f>
        <v>0</v>
      </c>
      <c r="U9" s="37">
        <f>'[1]Cash Flow Statement_Actual'!T3*0.003</f>
        <v>0</v>
      </c>
      <c r="V9" s="37">
        <f>'[1]Cash Flow Statement_Actual'!U3*0.003</f>
        <v>0</v>
      </c>
      <c r="W9" s="37">
        <f>'[1]Cash Flow Statement_Actual'!V3*0.003</f>
        <v>0</v>
      </c>
      <c r="X9" s="37">
        <f>'[1]Cash Flow Statement_Actual'!W3*0.003</f>
        <v>0</v>
      </c>
      <c r="Y9" s="37">
        <f>'[1]Cash Flow Statement_Actual'!X3*0.003</f>
        <v>0</v>
      </c>
      <c r="Z9" s="37">
        <f>'[1]Cash Flow Statement_Actual'!Y3*0.003</f>
        <v>0</v>
      </c>
      <c r="AA9" s="37">
        <f>'[1]Cash Flow Statement_Actual'!Z3*0.003</f>
        <v>0</v>
      </c>
    </row>
    <row r="10" spans="1:27" x14ac:dyDescent="0.2">
      <c r="A10" s="10" t="s">
        <v>23</v>
      </c>
      <c r="B10" s="10" t="s">
        <v>72</v>
      </c>
      <c r="C10" s="37">
        <v>248.6</v>
      </c>
      <c r="D10" s="37">
        <v>248.6</v>
      </c>
      <c r="E10" s="37">
        <v>248.6</v>
      </c>
      <c r="F10" s="37">
        <v>248.6</v>
      </c>
      <c r="G10" s="37">
        <v>248.6</v>
      </c>
      <c r="H10" s="37">
        <v>248.6</v>
      </c>
      <c r="I10" s="37">
        <v>248.6</v>
      </c>
      <c r="J10" s="37">
        <v>248.6</v>
      </c>
      <c r="K10" s="37">
        <v>248.6</v>
      </c>
      <c r="L10" s="37">
        <v>248.6</v>
      </c>
      <c r="M10" s="37">
        <v>248.6</v>
      </c>
      <c r="N10" s="37">
        <v>248.6</v>
      </c>
      <c r="O10" s="37">
        <v>248.6</v>
      </c>
      <c r="P10" s="37">
        <v>0</v>
      </c>
      <c r="Q10" s="37">
        <f t="shared" ref="Q10:AA10" ca="1" si="5">P10*(RAND()*(1.04-1.025)+1.025)</f>
        <v>0</v>
      </c>
      <c r="R10" s="37">
        <f t="shared" ca="1" si="5"/>
        <v>0</v>
      </c>
      <c r="S10" s="37">
        <f t="shared" ca="1" si="5"/>
        <v>0</v>
      </c>
      <c r="T10" s="37">
        <f t="shared" ca="1" si="5"/>
        <v>0</v>
      </c>
      <c r="U10" s="37">
        <f t="shared" ca="1" si="5"/>
        <v>0</v>
      </c>
      <c r="V10" s="37">
        <f t="shared" ca="1" si="5"/>
        <v>0</v>
      </c>
      <c r="W10" s="37">
        <f t="shared" ca="1" si="5"/>
        <v>0</v>
      </c>
      <c r="X10" s="37">
        <f t="shared" ca="1" si="5"/>
        <v>0</v>
      </c>
      <c r="Y10" s="37">
        <f t="shared" ca="1" si="5"/>
        <v>0</v>
      </c>
      <c r="Z10" s="37">
        <f t="shared" ca="1" si="5"/>
        <v>0</v>
      </c>
      <c r="AA10" s="37">
        <f t="shared" ca="1" si="5"/>
        <v>0</v>
      </c>
    </row>
    <row r="11" spans="1:27" x14ac:dyDescent="0.2">
      <c r="A11" s="10" t="s">
        <v>23</v>
      </c>
      <c r="B11" s="10" t="s">
        <v>73</v>
      </c>
      <c r="C11" s="37">
        <v>90</v>
      </c>
      <c r="D11" s="37">
        <v>90</v>
      </c>
      <c r="E11" s="37">
        <v>90</v>
      </c>
      <c r="F11" s="37">
        <v>90</v>
      </c>
      <c r="G11" s="37">
        <v>90</v>
      </c>
      <c r="H11" s="37">
        <v>120</v>
      </c>
      <c r="I11" s="37">
        <v>120</v>
      </c>
      <c r="J11" s="37">
        <v>120</v>
      </c>
      <c r="K11" s="37">
        <v>120</v>
      </c>
      <c r="L11" s="37">
        <v>140</v>
      </c>
      <c r="M11" s="37">
        <v>140</v>
      </c>
      <c r="N11" s="37">
        <v>140</v>
      </c>
      <c r="O11" s="37">
        <v>140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</row>
    <row r="12" spans="1:27" x14ac:dyDescent="0.2">
      <c r="A12" s="10" t="s">
        <v>23</v>
      </c>
      <c r="B12" s="10" t="s">
        <v>74</v>
      </c>
      <c r="C12" s="37">
        <v>10000</v>
      </c>
      <c r="D12" s="37">
        <v>20000</v>
      </c>
      <c r="E12" s="37">
        <v>20000</v>
      </c>
      <c r="F12" s="37">
        <v>17000</v>
      </c>
      <c r="G12" s="37">
        <v>15000</v>
      </c>
      <c r="H12" s="37">
        <v>24000</v>
      </c>
      <c r="I12" s="37">
        <v>23000</v>
      </c>
      <c r="J12" s="37">
        <v>18000</v>
      </c>
      <c r="K12" s="37">
        <v>9000</v>
      </c>
      <c r="L12" s="37">
        <v>27000</v>
      </c>
      <c r="M12" s="37">
        <v>25000</v>
      </c>
      <c r="N12" s="37">
        <v>19000</v>
      </c>
      <c r="O12" s="37">
        <v>16000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v>0</v>
      </c>
      <c r="AA12" s="37">
        <v>0</v>
      </c>
    </row>
    <row r="13" spans="1:27" x14ac:dyDescent="0.2">
      <c r="A13" s="10" t="s">
        <v>23</v>
      </c>
      <c r="B13" s="10" t="s">
        <v>75</v>
      </c>
      <c r="C13" s="37">
        <v>200</v>
      </c>
      <c r="D13" s="37">
        <v>200</v>
      </c>
      <c r="E13" s="37">
        <v>200</v>
      </c>
      <c r="F13" s="37">
        <v>200</v>
      </c>
      <c r="G13" s="37">
        <v>200</v>
      </c>
      <c r="H13" s="37">
        <v>200</v>
      </c>
      <c r="I13" s="37">
        <v>200</v>
      </c>
      <c r="J13" s="37">
        <v>200</v>
      </c>
      <c r="K13" s="37">
        <v>200</v>
      </c>
      <c r="L13" s="37">
        <v>200</v>
      </c>
      <c r="M13" s="37">
        <v>200</v>
      </c>
      <c r="N13" s="37">
        <v>200</v>
      </c>
      <c r="O13" s="37">
        <v>200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</row>
    <row r="14" spans="1:27" x14ac:dyDescent="0.2">
      <c r="A14" s="10" t="s">
        <v>24</v>
      </c>
      <c r="B14" s="10" t="s">
        <v>76</v>
      </c>
      <c r="C14" s="37">
        <v>2000</v>
      </c>
      <c r="D14" s="37">
        <v>2000</v>
      </c>
      <c r="E14" s="37">
        <v>2000</v>
      </c>
      <c r="F14" s="37">
        <v>2000</v>
      </c>
      <c r="G14" s="37">
        <v>2000</v>
      </c>
      <c r="H14" s="37">
        <v>2000</v>
      </c>
      <c r="I14" s="37">
        <v>2000</v>
      </c>
      <c r="J14" s="37">
        <v>2000</v>
      </c>
      <c r="K14" s="37">
        <v>2000</v>
      </c>
      <c r="L14" s="37">
        <v>2000</v>
      </c>
      <c r="M14" s="37">
        <v>2000</v>
      </c>
      <c r="N14" s="37">
        <v>2000</v>
      </c>
      <c r="O14" s="37">
        <v>2000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</row>
    <row r="15" spans="1:27" x14ac:dyDescent="0.2">
      <c r="A15" s="10" t="s">
        <v>24</v>
      </c>
      <c r="B15" s="10" t="s">
        <v>77</v>
      </c>
      <c r="C15" s="37">
        <v>4000</v>
      </c>
      <c r="D15" s="37">
        <v>4000</v>
      </c>
      <c r="E15" s="37">
        <v>4000</v>
      </c>
      <c r="F15" s="37">
        <v>4000</v>
      </c>
      <c r="G15" s="37">
        <v>4000</v>
      </c>
      <c r="H15" s="37">
        <v>4000</v>
      </c>
      <c r="I15" s="37">
        <v>4000</v>
      </c>
      <c r="J15" s="37">
        <v>4000</v>
      </c>
      <c r="K15" s="37">
        <v>4000</v>
      </c>
      <c r="L15" s="37">
        <v>4000</v>
      </c>
      <c r="M15" s="37">
        <v>4000</v>
      </c>
      <c r="N15" s="37">
        <v>4000</v>
      </c>
      <c r="O15" s="37">
        <v>4000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</row>
    <row r="16" spans="1:27" x14ac:dyDescent="0.2">
      <c r="A16" s="10" t="s">
        <v>24</v>
      </c>
      <c r="B16" s="10" t="s">
        <v>78</v>
      </c>
      <c r="C16" s="37">
        <v>3000</v>
      </c>
      <c r="D16" s="37">
        <v>3000</v>
      </c>
      <c r="E16" s="37">
        <v>3000</v>
      </c>
      <c r="F16" s="37">
        <v>3000</v>
      </c>
      <c r="G16" s="37">
        <v>3000</v>
      </c>
      <c r="H16" s="37">
        <v>3000</v>
      </c>
      <c r="I16" s="37">
        <v>3000</v>
      </c>
      <c r="J16" s="37">
        <v>3000</v>
      </c>
      <c r="K16" s="37">
        <v>3000</v>
      </c>
      <c r="L16" s="37">
        <v>3000</v>
      </c>
      <c r="M16" s="37">
        <v>3000</v>
      </c>
      <c r="N16" s="37">
        <v>3000</v>
      </c>
      <c r="O16" s="37">
        <v>3000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</row>
    <row r="17" spans="1:27" x14ac:dyDescent="0.2">
      <c r="A17" s="10" t="s">
        <v>24</v>
      </c>
      <c r="B17" s="10" t="s">
        <v>79</v>
      </c>
      <c r="C17" s="37">
        <v>1000</v>
      </c>
      <c r="D17" s="37">
        <v>1000</v>
      </c>
      <c r="E17" s="37">
        <v>1000</v>
      </c>
      <c r="F17" s="37">
        <v>1000</v>
      </c>
      <c r="G17" s="37">
        <v>1000</v>
      </c>
      <c r="H17" s="37">
        <v>1000</v>
      </c>
      <c r="I17" s="37">
        <v>1100</v>
      </c>
      <c r="J17" s="37">
        <v>1100</v>
      </c>
      <c r="K17" s="37">
        <v>1200</v>
      </c>
      <c r="L17" s="37">
        <v>1200</v>
      </c>
      <c r="M17" s="37">
        <v>1200</v>
      </c>
      <c r="N17" s="37">
        <v>1300</v>
      </c>
      <c r="O17" s="37">
        <v>1300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0</v>
      </c>
      <c r="AA17" s="37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7BFC858-DCFA-46A3-95A9-7DBC165F0DF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Cash Flow Statement_Budget</vt:lpstr>
      <vt:lpstr>Sales_Budget (2)</vt:lpstr>
      <vt:lpstr>Sales_Budget</vt:lpstr>
      <vt:lpstr>COGS_Budget_SQL</vt:lpstr>
      <vt:lpstr>COGS_Budget</vt:lpstr>
      <vt:lpstr>Working Capital_Budget</vt:lpstr>
      <vt:lpstr>CapEx_Budget</vt:lpstr>
      <vt:lpstr>Debt Schedule_Budget</vt:lpstr>
      <vt:lpstr>OPEX_Budget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2026-09-02T13:04:24Z</dcterms:modified>
</cp:coreProperties>
</file>